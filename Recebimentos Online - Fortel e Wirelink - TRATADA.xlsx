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iviocesar/Downloads/"/>
    </mc:Choice>
  </mc:AlternateContent>
  <xr:revisionPtr revIDLastSave="0" documentId="13_ncr:1_{B1337258-F6FF-A040-859E-E6213C446462}" xr6:coauthVersionLast="47" xr6:coauthVersionMax="47" xr10:uidLastSave="{00000000-0000-0000-0000-000000000000}"/>
  <bookViews>
    <workbookView xWindow="0" yWindow="600" windowWidth="28800" windowHeight="17400" xr2:uid="{73E1F298-79A8-4D3B-A19D-0E4BC163B3B9}"/>
  </bookViews>
  <sheets>
    <sheet name="ONLINE" sheetId="1" r:id="rId1"/>
    <sheet name="HTM" sheetId="2" r:id="rId2"/>
  </sheets>
  <definedNames>
    <definedName name="_xlnm._FilterDatabase" localSheetId="1" hidden="1">HTM!$A$2:$R$2</definedName>
    <definedName name="_xlnm._FilterDatabase" localSheetId="0" hidden="1">ONLINE!$A$2:$S$288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 s="1"/>
  <c r="P5" i="1"/>
  <c r="Q5" i="1" s="1"/>
  <c r="P7" i="1"/>
  <c r="Q7" i="1" s="1"/>
  <c r="P8" i="1"/>
  <c r="Q8" i="1" s="1"/>
  <c r="P9" i="1"/>
  <c r="Q9" i="1" s="1"/>
  <c r="P10" i="1"/>
  <c r="Q10" i="1" s="1"/>
  <c r="P11" i="1"/>
  <c r="Q11" i="1" s="1"/>
  <c r="P13" i="1"/>
  <c r="Q13" i="1" s="1"/>
  <c r="P14" i="1"/>
  <c r="Q14" i="1" s="1"/>
  <c r="P17" i="1"/>
  <c r="Q17" i="1" s="1"/>
  <c r="P19" i="1"/>
  <c r="Q19" i="1" s="1"/>
  <c r="P22" i="1"/>
  <c r="Q22" i="1" s="1"/>
  <c r="P20" i="1"/>
  <c r="Q20" i="1" s="1"/>
  <c r="P21" i="1"/>
  <c r="Q21" i="1" s="1"/>
  <c r="P23" i="1"/>
  <c r="Q23" i="1" s="1"/>
  <c r="P24" i="1"/>
  <c r="Q24" i="1" s="1"/>
  <c r="P25" i="1"/>
  <c r="Q25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288" i="1"/>
  <c r="Q288" i="1" s="1"/>
  <c r="P33" i="1"/>
  <c r="Q33" i="1" s="1"/>
  <c r="P35" i="1"/>
  <c r="Q35" i="1" s="1"/>
  <c r="P36" i="1"/>
  <c r="Q36" i="1" s="1"/>
  <c r="P104" i="1"/>
  <c r="Q104" i="1" s="1"/>
  <c r="P38" i="1"/>
  <c r="Q38" i="1" s="1"/>
  <c r="P37" i="1"/>
  <c r="Q37" i="1" s="1"/>
  <c r="P41" i="1"/>
  <c r="Q41" i="1" s="1"/>
  <c r="P39" i="1"/>
  <c r="Q39" i="1" s="1"/>
  <c r="P40" i="1"/>
  <c r="Q40" i="1" s="1"/>
  <c r="P44" i="1"/>
  <c r="Q44" i="1" s="1"/>
  <c r="P89" i="1"/>
  <c r="Q89" i="1" s="1"/>
  <c r="P43" i="1"/>
  <c r="Q43" i="1" s="1"/>
  <c r="P42" i="1"/>
  <c r="Q42" i="1" s="1"/>
  <c r="P45" i="1"/>
  <c r="Q45" i="1" s="1"/>
  <c r="P73" i="1"/>
  <c r="Q73" i="1" s="1"/>
  <c r="P46" i="1"/>
  <c r="Q46" i="1" s="1"/>
  <c r="P90" i="1"/>
  <c r="Q90" i="1" s="1"/>
  <c r="P49" i="1"/>
  <c r="Q49" i="1" s="1"/>
  <c r="P48" i="1"/>
  <c r="Q48" i="1" s="1"/>
  <c r="P50" i="1"/>
  <c r="Q50" i="1" s="1"/>
  <c r="P94" i="1"/>
  <c r="Q94" i="1" s="1"/>
  <c r="P51" i="1"/>
  <c r="Q51" i="1" s="1"/>
  <c r="P52" i="1"/>
  <c r="Q52" i="1" s="1"/>
  <c r="P56" i="1"/>
  <c r="Q56" i="1" s="1"/>
  <c r="P53" i="1"/>
  <c r="Q53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91" i="1"/>
  <c r="Q91" i="1" s="1"/>
  <c r="P92" i="1"/>
  <c r="Q92" i="1" s="1"/>
  <c r="P93" i="1"/>
  <c r="Q93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4" i="1"/>
  <c r="Q134" i="1" s="1"/>
  <c r="P135" i="1"/>
  <c r="Q135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2" i="1"/>
  <c r="Q152" i="1" s="1"/>
  <c r="P153" i="1"/>
  <c r="Q153" i="1" s="1"/>
  <c r="P154" i="1"/>
  <c r="Q154" i="1" s="1"/>
  <c r="P151" i="1"/>
  <c r="Q151" i="1" s="1"/>
  <c r="P157" i="1"/>
  <c r="Q157" i="1" s="1"/>
  <c r="P155" i="1"/>
  <c r="Q155" i="1" s="1"/>
  <c r="P156" i="1"/>
  <c r="Q156" i="1" s="1"/>
  <c r="P158" i="1"/>
  <c r="Q158" i="1" s="1"/>
  <c r="P159" i="1"/>
  <c r="Q159" i="1" s="1"/>
  <c r="P160" i="1"/>
  <c r="Q160" i="1" s="1"/>
  <c r="P161" i="1"/>
  <c r="Q161" i="1" s="1"/>
  <c r="P162" i="1"/>
  <c r="Q162" i="1" s="1"/>
  <c r="P26" i="1"/>
  <c r="Q26" i="1" s="1"/>
  <c r="P16" i="1"/>
  <c r="Q16" i="1" s="1"/>
  <c r="P163" i="1"/>
  <c r="Q163" i="1" s="1"/>
  <c r="P164" i="1"/>
  <c r="Q164" i="1" s="1"/>
  <c r="P15" i="1"/>
  <c r="Q15" i="1" s="1"/>
  <c r="P165" i="1"/>
  <c r="Q165" i="1" s="1"/>
  <c r="P167" i="1"/>
  <c r="Q167" i="1" s="1"/>
  <c r="P166" i="1"/>
  <c r="Q166" i="1" s="1"/>
  <c r="P6" i="1"/>
  <c r="Q6" i="1" s="1"/>
  <c r="P63" i="1"/>
  <c r="Q63" i="1" s="1"/>
  <c r="P168" i="1"/>
  <c r="Q168" i="1" s="1"/>
  <c r="P18" i="1"/>
  <c r="Q18" i="1" s="1"/>
  <c r="P88" i="1"/>
  <c r="Q88" i="1" s="1"/>
  <c r="P47" i="1"/>
  <c r="Q47" i="1" s="1"/>
  <c r="P169" i="1"/>
  <c r="Q169" i="1" s="1"/>
  <c r="P216" i="1"/>
  <c r="Q216" i="1" s="1"/>
  <c r="P230" i="1"/>
  <c r="Q230" i="1" s="1"/>
  <c r="P103" i="1"/>
  <c r="Q103" i="1" s="1"/>
  <c r="P170" i="1"/>
  <c r="Q170" i="1" s="1"/>
  <c r="P54" i="1"/>
  <c r="Q54" i="1" s="1"/>
  <c r="P34" i="1"/>
  <c r="Q34" i="1" s="1"/>
  <c r="P12" i="1"/>
  <c r="Q12" i="1" s="1"/>
  <c r="P121" i="1"/>
  <c r="Q121" i="1" s="1"/>
  <c r="P122" i="1"/>
  <c r="Q122" i="1" s="1"/>
  <c r="P172" i="1"/>
  <c r="Q172" i="1" s="1"/>
  <c r="P171" i="1"/>
  <c r="Q171" i="1" s="1"/>
  <c r="P227" i="1"/>
  <c r="Q227" i="1" s="1"/>
  <c r="P125" i="1"/>
  <c r="Q125" i="1" s="1"/>
  <c r="P55" i="1"/>
  <c r="Q55" i="1" s="1"/>
  <c r="P226" i="1"/>
  <c r="Q226" i="1" s="1"/>
  <c r="P186" i="1"/>
  <c r="Q186" i="1" s="1"/>
  <c r="P263" i="1"/>
  <c r="Q263" i="1" s="1"/>
  <c r="P213" i="1"/>
  <c r="Q213" i="1" s="1"/>
  <c r="P124" i="1"/>
  <c r="Q124" i="1" s="1"/>
  <c r="P279" i="1"/>
  <c r="Q279" i="1" s="1"/>
  <c r="P220" i="1"/>
  <c r="Q220" i="1" s="1"/>
  <c r="P126" i="1"/>
  <c r="Q126" i="1" s="1"/>
  <c r="P277" i="1"/>
  <c r="Q277" i="1" s="1"/>
  <c r="P224" i="1"/>
  <c r="Q224" i="1" s="1"/>
  <c r="P123" i="1"/>
  <c r="Q123" i="1" s="1"/>
  <c r="P264" i="1"/>
  <c r="Q264" i="1" s="1"/>
  <c r="P223" i="1"/>
  <c r="Q223" i="1" s="1"/>
  <c r="P105" i="1"/>
  <c r="Q105" i="1" s="1"/>
  <c r="P278" i="1"/>
  <c r="Q278" i="1" s="1"/>
  <c r="P214" i="1"/>
  <c r="Q214" i="1" s="1"/>
  <c r="P241" i="1"/>
  <c r="Q241" i="1" s="1"/>
  <c r="P189" i="1"/>
  <c r="Q189" i="1" s="1"/>
  <c r="P221" i="1"/>
  <c r="Q221" i="1" s="1"/>
  <c r="P261" i="1"/>
  <c r="Q261" i="1" s="1"/>
  <c r="P184" i="1"/>
  <c r="Q184" i="1" s="1"/>
  <c r="P259" i="1"/>
  <c r="Q259" i="1" s="1"/>
  <c r="P238" i="1"/>
  <c r="Q238" i="1" s="1"/>
  <c r="P183" i="1"/>
  <c r="Q183" i="1" s="1"/>
  <c r="P260" i="1"/>
  <c r="Q260" i="1" s="1"/>
  <c r="P232" i="1"/>
  <c r="Q232" i="1" s="1"/>
  <c r="P206" i="1"/>
  <c r="Q206" i="1" s="1"/>
  <c r="P258" i="1"/>
  <c r="Q258" i="1" s="1"/>
  <c r="P233" i="1"/>
  <c r="Q233" i="1" s="1"/>
  <c r="P193" i="1"/>
  <c r="Q193" i="1" s="1"/>
  <c r="P249" i="1"/>
  <c r="Q249" i="1" s="1"/>
  <c r="P203" i="1"/>
  <c r="Q203" i="1" s="1"/>
  <c r="P204" i="1"/>
  <c r="Q204" i="1" s="1"/>
  <c r="P248" i="1"/>
  <c r="Q248" i="1" s="1"/>
  <c r="P195" i="1"/>
  <c r="Q195" i="1" s="1"/>
  <c r="P200" i="1"/>
  <c r="Q200" i="1" s="1"/>
  <c r="P246" i="1"/>
  <c r="Q246" i="1" s="1"/>
  <c r="P197" i="1"/>
  <c r="Q197" i="1" s="1"/>
  <c r="P192" i="1"/>
  <c r="Q192" i="1" s="1"/>
  <c r="P240" i="1"/>
  <c r="Q240" i="1" s="1"/>
  <c r="P201" i="1"/>
  <c r="Q201" i="1" s="1"/>
  <c r="P187" i="1"/>
  <c r="Q187" i="1" s="1"/>
  <c r="P239" i="1"/>
  <c r="Q239" i="1" s="1"/>
  <c r="P198" i="1"/>
  <c r="Q198" i="1" s="1"/>
  <c r="P188" i="1"/>
  <c r="Q188" i="1" s="1"/>
  <c r="P234" i="1"/>
  <c r="Q234" i="1" s="1"/>
  <c r="P194" i="1"/>
  <c r="Q194" i="1" s="1"/>
  <c r="P256" i="1"/>
  <c r="Q256" i="1" s="1"/>
  <c r="P236" i="1"/>
  <c r="Q236" i="1" s="1"/>
  <c r="P190" i="1"/>
  <c r="Q190" i="1" s="1"/>
  <c r="P225" i="1"/>
  <c r="Q225" i="1" s="1"/>
  <c r="P237" i="1"/>
  <c r="Q237" i="1" s="1"/>
  <c r="P196" i="1"/>
  <c r="Q196" i="1" s="1"/>
  <c r="P231" i="1"/>
  <c r="Q231" i="1" s="1"/>
  <c r="P244" i="1"/>
  <c r="Q244" i="1" s="1"/>
  <c r="P215" i="1"/>
  <c r="Q215" i="1" s="1"/>
  <c r="P254" i="1"/>
  <c r="Q254" i="1" s="1"/>
  <c r="P252" i="1"/>
  <c r="Q252" i="1" s="1"/>
  <c r="P247" i="1"/>
  <c r="Q247" i="1" s="1"/>
  <c r="P211" i="1"/>
  <c r="Q211" i="1" s="1"/>
  <c r="P199" i="1"/>
  <c r="Q199" i="1" s="1"/>
  <c r="P268" i="1"/>
  <c r="Q268" i="1" s="1"/>
  <c r="P262" i="1"/>
  <c r="Q262" i="1" s="1"/>
  <c r="P287" i="1"/>
  <c r="Q287" i="1" s="1"/>
  <c r="P208" i="1"/>
  <c r="Q208" i="1" s="1"/>
  <c r="P202" i="1"/>
  <c r="Q202" i="1" s="1"/>
  <c r="P271" i="1"/>
  <c r="Q271" i="1" s="1"/>
  <c r="P267" i="1"/>
  <c r="Q267" i="1" s="1"/>
  <c r="P286" i="1"/>
  <c r="Q286" i="1" s="1"/>
  <c r="P253" i="1"/>
  <c r="Q253" i="1" s="1"/>
  <c r="P218" i="1"/>
  <c r="Q218" i="1" s="1"/>
  <c r="P270" i="1"/>
  <c r="Q270" i="1" s="1"/>
  <c r="P272" i="1"/>
  <c r="Q272" i="1" s="1"/>
  <c r="P136" i="1"/>
  <c r="Q136" i="1" s="1"/>
  <c r="P173" i="1"/>
  <c r="Q173" i="1" s="1"/>
  <c r="P174" i="1"/>
  <c r="Q174" i="1" s="1"/>
  <c r="P175" i="1"/>
  <c r="Q175" i="1" s="1"/>
  <c r="P177" i="1"/>
  <c r="Q177" i="1" s="1"/>
  <c r="P176" i="1"/>
  <c r="Q176" i="1" s="1"/>
  <c r="P133" i="1"/>
  <c r="Q133" i="1" s="1"/>
  <c r="P266" i="1"/>
  <c r="Q266" i="1" s="1"/>
  <c r="P276" i="1"/>
  <c r="Q276" i="1" s="1"/>
  <c r="P251" i="1"/>
  <c r="Q251" i="1" s="1"/>
  <c r="P228" i="1"/>
  <c r="Q228" i="1" s="1"/>
  <c r="P265" i="1"/>
  <c r="Q265" i="1" s="1"/>
  <c r="P283" i="1"/>
  <c r="Q283" i="1" s="1"/>
  <c r="P285" i="1"/>
  <c r="Q285" i="1" s="1"/>
  <c r="P212" i="1"/>
  <c r="Q212" i="1" s="1"/>
  <c r="P257" i="1"/>
  <c r="Q257" i="1" s="1"/>
  <c r="P281" i="1"/>
  <c r="Q281" i="1" s="1"/>
  <c r="P269" i="1"/>
  <c r="Q269" i="1" s="1"/>
  <c r="P210" i="1"/>
  <c r="Q210" i="1" s="1"/>
  <c r="P242" i="1"/>
  <c r="Q242" i="1" s="1"/>
  <c r="P284" i="1"/>
  <c r="Q284" i="1" s="1"/>
  <c r="P229" i="1"/>
  <c r="Q229" i="1" s="1"/>
  <c r="P191" i="1"/>
  <c r="Q191" i="1" s="1"/>
  <c r="P235" i="1"/>
  <c r="Q235" i="1" s="1"/>
  <c r="P178" i="1"/>
  <c r="Q178" i="1" s="1"/>
  <c r="P273" i="1"/>
  <c r="Q273" i="1" s="1"/>
  <c r="P280" i="1"/>
  <c r="Q280" i="1" s="1"/>
  <c r="P250" i="1"/>
  <c r="Q250" i="1" s="1"/>
  <c r="P275" i="1"/>
  <c r="Q275" i="1" s="1"/>
  <c r="P179" i="1"/>
  <c r="Q179" i="1" s="1"/>
  <c r="P282" i="1"/>
  <c r="Q282" i="1" s="1"/>
  <c r="P207" i="1"/>
  <c r="Q207" i="1" s="1"/>
  <c r="P245" i="1"/>
  <c r="Q245" i="1" s="1"/>
  <c r="P209" i="1"/>
  <c r="Q209" i="1" s="1"/>
  <c r="P255" i="1"/>
  <c r="Q255" i="1" s="1"/>
  <c r="P274" i="1"/>
  <c r="Q274" i="1" s="1"/>
  <c r="P180" i="1"/>
  <c r="Q180" i="1" s="1"/>
  <c r="P219" i="1"/>
  <c r="Q219" i="1" s="1"/>
  <c r="P217" i="1"/>
  <c r="Q217" i="1" s="1"/>
  <c r="P222" i="1"/>
  <c r="Q222" i="1" s="1"/>
  <c r="P243" i="1"/>
  <c r="Q243" i="1" s="1"/>
  <c r="P182" i="1"/>
  <c r="Q182" i="1" s="1"/>
  <c r="P205" i="1"/>
  <c r="Q205" i="1" s="1"/>
  <c r="P181" i="1"/>
  <c r="Q181" i="1" s="1"/>
  <c r="P185" i="1"/>
  <c r="Q185" i="1" s="1"/>
  <c r="P3" i="1"/>
  <c r="Q3" i="1" s="1"/>
  <c r="O1" i="1"/>
  <c r="L1" i="1"/>
  <c r="Q1" i="2"/>
  <c r="O1" i="2"/>
  <c r="L1" i="2"/>
  <c r="R1" i="1" l="1"/>
</calcChain>
</file>

<file path=xl/sharedStrings.xml><?xml version="1.0" encoding="utf-8"?>
<sst xmlns="http://schemas.openxmlformats.org/spreadsheetml/2006/main" count="2588" uniqueCount="98">
  <si>
    <t>Contas a Receber</t>
  </si>
  <si>
    <t>Nota de Telecomunicação - Fortel</t>
  </si>
  <si>
    <t>ADM-ADMINISTRATIVO</t>
  </si>
  <si>
    <t>Venda</t>
  </si>
  <si>
    <t>Bradesco Cobrança 50032-1</t>
  </si>
  <si>
    <t>INTERNET DEDICADA - SCM</t>
  </si>
  <si>
    <t>ATV ISP PERCENTIL</t>
  </si>
  <si>
    <t>PADRÃO</t>
  </si>
  <si>
    <t>Depositos nao identificados</t>
  </si>
  <si>
    <t>TIPO DOC</t>
  </si>
  <si>
    <t>NÚMERO</t>
  </si>
  <si>
    <t>OBJETO</t>
  </si>
  <si>
    <t>TIPO</t>
  </si>
  <si>
    <t>DOC</t>
  </si>
  <si>
    <t>DATA</t>
  </si>
  <si>
    <t>EMISSÃO</t>
  </si>
  <si>
    <t>CENTRO CUSTOS</t>
  </si>
  <si>
    <t>FINALIDADE</t>
  </si>
  <si>
    <t>ATIVIDADE</t>
  </si>
  <si>
    <t>PESSOA</t>
  </si>
  <si>
    <t>VALOR</t>
  </si>
  <si>
    <t>VENCIMENTO</t>
  </si>
  <si>
    <t>LIQUIDAÇÃO</t>
  </si>
  <si>
    <t>PAGO OU RECEB</t>
  </si>
  <si>
    <t>RECEB PERÍODO</t>
  </si>
  <si>
    <t>DEPOSITÁRIO</t>
  </si>
  <si>
    <t>OBSERVAÇÃO</t>
  </si>
  <si>
    <t>Online Provedor de Acesso a Internet Ltda</t>
  </si>
  <si>
    <t>SOLICITADO PELA AMANDA POR E-MAIL DIA 30/06</t>
  </si>
  <si>
    <t>SOLICITADO PELA AMANDA POR E-MAIL DIA 30/09</t>
  </si>
  <si>
    <t>Solicitado por e-mail dia 18/11/2020 pelo o Paulo Macedo Aguiar - Gerente Financeiro da Online</t>
  </si>
  <si>
    <t>Itau Fortel 21701-9</t>
  </si>
  <si>
    <t>HTM SERVICOS DE TELECOMUNICACOES EIRELI</t>
  </si>
  <si>
    <t>SOLICITADO PELA AMANDA DA ONLINE POR E-MAIL DIA 30/04</t>
  </si>
  <si>
    <t>SOLICITADO PELA AMANDA DA ONLINE POR E-MAIL DIA 26/05</t>
  </si>
  <si>
    <t>SOLICITADO PELA AMANDA DA ONLINE POR E-MAIL DIA 26/06</t>
  </si>
  <si>
    <t>SOLICITADO PELA AMANDA DA ONLINE POR E-MAIL DIA 31/07</t>
  </si>
  <si>
    <t>SOLICITADO PELA AMANDA DA ONLINE POR E-MAIL DIA 31/08</t>
  </si>
  <si>
    <t>SOLICITADO PELA AMANDA DA ONLINE POR E-MAIL DIA 30/09</t>
  </si>
  <si>
    <t>SOLICITADO PELA AMANDA DA ONLINE POR WPP DIA 30/10</t>
  </si>
  <si>
    <t>SOLICITADO PELA ADRIANA MACEDO DA ONLINE POR EMAIL DIA 30/11/2020</t>
  </si>
  <si>
    <t>SOLICITADO PELA ADRIANA MACEDO DA ONLINE POR EMAIL DIA 01/12/2020</t>
  </si>
  <si>
    <t>SOLICITADO PELA ADRIANA MACEDO DA ONLINE POR EMAIL DIA 11/12/2020</t>
  </si>
  <si>
    <t>SOLICITADO PELA AMANDA DA ONLINE POR E-MAIL DIA 07/01/2021</t>
  </si>
  <si>
    <t>SOLICITADO PELA AMANDA DA ONLINE POR E-MAIL DIA 26/01/2021</t>
  </si>
  <si>
    <t>SOLICITADO PELA AMANDA DA ONLINE POR E-MAIL DIA 23/02/2021</t>
  </si>
  <si>
    <t>SOLICITADO PELA AMANDA DA ONLINE POR E-MAIL DIA 08/03/2021</t>
  </si>
  <si>
    <t>SOLICITADO PELA AMANDA DA ONLINE POR E-MAIL DIA 31/03/2021</t>
  </si>
  <si>
    <t>SOLICITADO PELA AMANDA DA ONLINE POR E-MAIL DIA 27/04/2021</t>
  </si>
  <si>
    <t>SOLICITADO PELA AMANDA DA ONLINE POR WPP DIA 19/05/2021</t>
  </si>
  <si>
    <t>SOLICITADO PELA AMANDA DA ONLINE POR WPP DIA 31/05/2021</t>
  </si>
  <si>
    <t>SOLICITADO PELA AMANDA DA ONLINE POR WPP DIA 22/06/2021</t>
  </si>
  <si>
    <t>SOLICITADO PELA AMANDA DA ONLINE POR WPP DIA 30/06/2021</t>
  </si>
  <si>
    <t>PERCENTIL DE JUNHO/21</t>
  </si>
  <si>
    <t>PERCENTIL DE JULHO/21</t>
  </si>
  <si>
    <t>PERCENTIL DE AGOSTO/21 - Ticket#2021092095213</t>
  </si>
  <si>
    <t>Ticket#2021101895829</t>
  </si>
  <si>
    <t>Ticket#2021121495542</t>
  </si>
  <si>
    <t>Ticket#2022011295290</t>
  </si>
  <si>
    <t>Ticket#2022020995366</t>
  </si>
  <si>
    <t>Ticket#2022032195251</t>
  </si>
  <si>
    <t>Ticket#2022041895123/ Alt no valor - Ticket#2022041895392</t>
  </si>
  <si>
    <t>Ticket#2022051995278</t>
  </si>
  <si>
    <t>Ticket#20220613952062</t>
  </si>
  <si>
    <t>Ticket#202207209556</t>
  </si>
  <si>
    <t>Recibo*</t>
  </si>
  <si>
    <t>Mensalidade Mensal Predial</t>
  </si>
  <si>
    <t>Administração</t>
  </si>
  <si>
    <t>Padrão</t>
  </si>
  <si>
    <t>Wirelink Caixa 223-3</t>
  </si>
  <si>
    <t>Caixa geral</t>
  </si>
  <si>
    <t>Cheque em carteira</t>
  </si>
  <si>
    <t>Instalacao de Internet a Radio</t>
  </si>
  <si>
    <t>Instalaçao</t>
  </si>
  <si>
    <t>Caixa Luiz</t>
  </si>
  <si>
    <t>Provedor GSP - Aracapé</t>
  </si>
  <si>
    <t>2 Mbps</t>
  </si>
  <si>
    <t>LINK APARTAMENTO FORTALEZA</t>
  </si>
  <si>
    <t>LINK APARTAMENTO - Av. Desembargador moreira, 2033</t>
  </si>
  <si>
    <t>SERVIÇO DE ACESSO A CONTEÚDO</t>
  </si>
  <si>
    <t>Infoway Caixa 1158-5</t>
  </si>
  <si>
    <t>BB DROAD 57625-5</t>
  </si>
  <si>
    <t>Link Dedicado</t>
  </si>
  <si>
    <t>Imperatriz</t>
  </si>
  <si>
    <t>Presidente Dutra</t>
  </si>
  <si>
    <t>SEDE</t>
  </si>
  <si>
    <t>Referente a NF 155 / Referente a compra de container</t>
  </si>
  <si>
    <t>Mensalidade</t>
  </si>
  <si>
    <t>Acordo feito Sr. Adriano e Sr. Elmo - Cliente Conecta Networks pagou R$ 54.200,00 para Online. Com isso foi gerado um título de Cobrança nesse valor para Online</t>
  </si>
  <si>
    <t>Transporte PTT</t>
  </si>
  <si>
    <t>ADM- ACADEMIA WIRELINK</t>
  </si>
  <si>
    <t>ATV ISP MANUAL</t>
  </si>
  <si>
    <t>PERCENTIL JANEIRO/2021</t>
  </si>
  <si>
    <t>PERCENTIL FEVEREIRO/2021</t>
  </si>
  <si>
    <t>PERCENTIL MARÇO/2021</t>
  </si>
  <si>
    <t>PERCENTIL - ABRI/21</t>
  </si>
  <si>
    <t>SALDO</t>
  </si>
  <si>
    <t>DATA LIQUIDAÇÃO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</si>
</sst>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44" fontId="2" fillId="2" borderId="0" xfId="2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5538-CBC6-4479-95B5-86AB03C66D04}">
  <dimension ref="A1:S288"/>
  <sheetViews>
    <sheetView showGridLines="0" tabSelected="1" zoomScale="115" workbookViewId="0">
      <pane ySplit="2" topLeftCell="A3" activePane="bottomLeft" state="frozen"/>
      <selection pane="bottomLeft" activeCell="Q1" sqref="Q1"/>
    </sheetView>
  </sheetViews>
  <sheetFormatPr baseColWidth="10" defaultColWidth="8.83203125" defaultRowHeight="15" x14ac:dyDescent="0.2"/>
  <cols>
    <col min="1" max="1" width="15.83203125" style="5" bestFit="1" customWidth="1"/>
    <col min="2" max="2" width="9.5" style="5" bestFit="1" customWidth="1"/>
    <col min="3" max="3" width="10.33203125" style="5" bestFit="1" customWidth="1"/>
    <col min="4" max="4" width="13.33203125" style="5" bestFit="1" customWidth="1"/>
    <col min="5" max="5" width="30.5" style="5" bestFit="1" customWidth="1"/>
    <col min="6" max="6" width="13.33203125" style="5" bestFit="1" customWidth="1"/>
    <col min="7" max="7" width="33.5" style="5" bestFit="1" customWidth="1"/>
    <col min="8" max="8" width="23.83203125" style="5" bestFit="1" customWidth="1"/>
    <col min="9" max="9" width="16" style="5" bestFit="1" customWidth="1"/>
    <col min="10" max="10" width="19.33203125" style="5" bestFit="1" customWidth="1"/>
    <col min="11" max="11" width="49" style="5" bestFit="1" customWidth="1"/>
    <col min="12" max="12" width="16" style="7" bestFit="1" customWidth="1"/>
    <col min="13" max="13" width="17.5" style="5" bestFit="1" customWidth="1"/>
    <col min="14" max="14" width="16.5" style="5" bestFit="1" customWidth="1"/>
    <col min="15" max="15" width="21.6640625" style="8" bestFit="1" customWidth="1"/>
    <col min="16" max="17" width="21.5" style="8" customWidth="1"/>
    <col min="18" max="18" width="29.5" style="5" bestFit="1" customWidth="1"/>
    <col min="19" max="19" width="255.83203125" style="5" bestFit="1" customWidth="1"/>
  </cols>
  <sheetData>
    <row r="1" spans="1:19" x14ac:dyDescent="0.2">
      <c r="L1" s="7">
        <f>SUBTOTAL(9,L3:L419)</f>
        <v>50140102.099999994</v>
      </c>
      <c r="M1" s="7"/>
      <c r="N1" s="7"/>
      <c r="O1" s="7">
        <f>SUBTOTAL(9,O3:O419)</f>
        <v>38992664.980000004</v>
      </c>
      <c r="P1" s="5"/>
      <c r="Q1" s="5"/>
      <c r="R1" s="7">
        <f>L1-O1</f>
        <v>11147437.11999999</v>
      </c>
    </row>
    <row r="2" spans="1:19" s="1" customForma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9</v>
      </c>
      <c r="F2" s="2" t="s">
        <v>10</v>
      </c>
      <c r="G2" s="2" t="s">
        <v>11</v>
      </c>
      <c r="H2" s="2" t="s">
        <v>16</v>
      </c>
      <c r="I2" s="2" t="s">
        <v>17</v>
      </c>
      <c r="J2" s="2" t="s">
        <v>18</v>
      </c>
      <c r="K2" s="2" t="s">
        <v>19</v>
      </c>
      <c r="L2" s="3" t="s">
        <v>20</v>
      </c>
      <c r="M2" s="2" t="s">
        <v>21</v>
      </c>
      <c r="N2" s="2" t="s">
        <v>97</v>
      </c>
      <c r="O2" s="4" t="s">
        <v>22</v>
      </c>
      <c r="P2" s="4" t="s">
        <v>96</v>
      </c>
      <c r="Q2" s="4"/>
      <c r="R2" s="2" t="s">
        <v>25</v>
      </c>
      <c r="S2" s="2" t="s">
        <v>26</v>
      </c>
    </row>
    <row r="3" spans="1:19" x14ac:dyDescent="0.2">
      <c r="A3" s="5" t="s">
        <v>0</v>
      </c>
      <c r="B3" s="5">
        <v>145409</v>
      </c>
      <c r="C3" s="6">
        <v>40351</v>
      </c>
      <c r="D3" s="6">
        <v>40351</v>
      </c>
      <c r="E3" s="5" t="s">
        <v>65</v>
      </c>
      <c r="F3" s="5">
        <v>59991</v>
      </c>
      <c r="G3" s="5" t="s">
        <v>66</v>
      </c>
      <c r="H3" s="5" t="s">
        <v>67</v>
      </c>
      <c r="I3" s="5" t="s">
        <v>3</v>
      </c>
      <c r="J3" s="5" t="s">
        <v>68</v>
      </c>
      <c r="K3" s="5" t="s">
        <v>27</v>
      </c>
      <c r="L3" s="7">
        <v>20000</v>
      </c>
      <c r="M3" s="6">
        <v>40374</v>
      </c>
      <c r="N3" s="6">
        <v>40373</v>
      </c>
      <c r="O3" s="8">
        <v>20000</v>
      </c>
      <c r="P3" s="8">
        <f>L3-O3</f>
        <v>0</v>
      </c>
      <c r="Q3" s="8" t="str">
        <f>IF(P3=0,"Pago","Não Pago")</f>
        <v>Pago</v>
      </c>
      <c r="R3" s="5" t="s">
        <v>69</v>
      </c>
    </row>
    <row r="4" spans="1:19" x14ac:dyDescent="0.2">
      <c r="A4" s="5" t="s">
        <v>0</v>
      </c>
      <c r="B4" s="5">
        <v>149414</v>
      </c>
      <c r="C4" s="6">
        <v>40379</v>
      </c>
      <c r="D4" s="6">
        <v>40379</v>
      </c>
      <c r="E4" s="5" t="s">
        <v>65</v>
      </c>
      <c r="F4" s="5">
        <v>61665</v>
      </c>
      <c r="G4" s="5" t="s">
        <v>66</v>
      </c>
      <c r="H4" s="5" t="s">
        <v>67</v>
      </c>
      <c r="I4" s="5" t="s">
        <v>3</v>
      </c>
      <c r="J4" s="5" t="s">
        <v>68</v>
      </c>
      <c r="K4" s="5" t="s">
        <v>27</v>
      </c>
      <c r="L4" s="7">
        <v>20000</v>
      </c>
      <c r="M4" s="6">
        <v>40405</v>
      </c>
      <c r="N4" s="6">
        <v>40407</v>
      </c>
      <c r="O4" s="8">
        <v>20000</v>
      </c>
      <c r="P4" s="8">
        <f>L4-O4</f>
        <v>0</v>
      </c>
      <c r="Q4" s="8" t="str">
        <f>IF(P4=0,"Pago","Não Pago")</f>
        <v>Pago</v>
      </c>
      <c r="R4" s="5" t="s">
        <v>8</v>
      </c>
    </row>
    <row r="5" spans="1:19" x14ac:dyDescent="0.2">
      <c r="A5" s="5" t="s">
        <v>0</v>
      </c>
      <c r="B5" s="5">
        <v>153567</v>
      </c>
      <c r="C5" s="6">
        <v>40413</v>
      </c>
      <c r="D5" s="6">
        <v>40413</v>
      </c>
      <c r="E5" s="5" t="s">
        <v>65</v>
      </c>
      <c r="F5" s="5">
        <v>64307</v>
      </c>
      <c r="G5" s="5" t="s">
        <v>66</v>
      </c>
      <c r="H5" s="5" t="s">
        <v>67</v>
      </c>
      <c r="I5" s="5" t="s">
        <v>3</v>
      </c>
      <c r="J5" s="5" t="s">
        <v>68</v>
      </c>
      <c r="K5" s="5" t="s">
        <v>27</v>
      </c>
      <c r="L5" s="7">
        <v>20000</v>
      </c>
      <c r="M5" s="6">
        <v>40436</v>
      </c>
      <c r="N5" s="6">
        <v>40436</v>
      </c>
      <c r="O5" s="8">
        <v>20000</v>
      </c>
      <c r="P5" s="8">
        <f>L5-O5</f>
        <v>0</v>
      </c>
      <c r="Q5" s="8" t="str">
        <f>IF(P5=0,"Pago","Não Pago")</f>
        <v>Pago</v>
      </c>
      <c r="R5" s="5" t="s">
        <v>69</v>
      </c>
    </row>
    <row r="6" spans="1:19" x14ac:dyDescent="0.2">
      <c r="A6" s="5" t="s">
        <v>0</v>
      </c>
      <c r="B6" s="5">
        <v>626778</v>
      </c>
      <c r="C6" s="6">
        <v>42856</v>
      </c>
      <c r="D6" s="6">
        <v>42856</v>
      </c>
      <c r="E6" s="5" t="s">
        <v>65</v>
      </c>
      <c r="G6" s="5" t="s">
        <v>82</v>
      </c>
      <c r="H6" s="5" t="s">
        <v>67</v>
      </c>
      <c r="I6" s="5" t="s">
        <v>3</v>
      </c>
      <c r="J6" s="5" t="s">
        <v>68</v>
      </c>
      <c r="K6" s="5" t="s">
        <v>27</v>
      </c>
      <c r="L6" s="7">
        <v>1435456</v>
      </c>
      <c r="M6" s="6">
        <v>42860</v>
      </c>
      <c r="N6" s="6">
        <v>43525</v>
      </c>
      <c r="O6" s="8">
        <v>1312501.4099999999</v>
      </c>
      <c r="P6" s="8">
        <f>L6-O6</f>
        <v>122954.59000000008</v>
      </c>
      <c r="Q6" s="8" t="str">
        <f>IF(P6=0,"Pago","Não Pago")</f>
        <v>Não Pago</v>
      </c>
      <c r="R6" s="5" t="s">
        <v>8</v>
      </c>
    </row>
    <row r="7" spans="1:19" x14ac:dyDescent="0.2">
      <c r="A7" s="5" t="s">
        <v>0</v>
      </c>
      <c r="B7" s="5">
        <v>157796</v>
      </c>
      <c r="C7" s="6">
        <v>40441</v>
      </c>
      <c r="D7" s="6">
        <v>40441</v>
      </c>
      <c r="E7" s="5" t="s">
        <v>65</v>
      </c>
      <c r="F7" s="5">
        <v>66487</v>
      </c>
      <c r="G7" s="5" t="s">
        <v>66</v>
      </c>
      <c r="H7" s="5" t="s">
        <v>67</v>
      </c>
      <c r="I7" s="5" t="s">
        <v>3</v>
      </c>
      <c r="J7" s="5" t="s">
        <v>68</v>
      </c>
      <c r="K7" s="5" t="s">
        <v>27</v>
      </c>
      <c r="L7" s="7">
        <v>20000</v>
      </c>
      <c r="M7" s="6">
        <v>40466</v>
      </c>
      <c r="N7" s="6">
        <v>40466</v>
      </c>
      <c r="O7" s="8">
        <v>20000</v>
      </c>
      <c r="P7" s="8">
        <f>L7-O7</f>
        <v>0</v>
      </c>
      <c r="Q7" s="8" t="str">
        <f>IF(P7=0,"Pago","Não Pago")</f>
        <v>Pago</v>
      </c>
      <c r="R7" s="5" t="s">
        <v>69</v>
      </c>
    </row>
    <row r="8" spans="1:19" x14ac:dyDescent="0.2">
      <c r="A8" s="5" t="s">
        <v>0</v>
      </c>
      <c r="B8" s="5">
        <v>161941</v>
      </c>
      <c r="C8" s="6">
        <v>40471</v>
      </c>
      <c r="D8" s="6">
        <v>40471</v>
      </c>
      <c r="E8" s="5" t="s">
        <v>65</v>
      </c>
      <c r="F8" s="5">
        <v>68513</v>
      </c>
      <c r="G8" s="5" t="s">
        <v>66</v>
      </c>
      <c r="H8" s="5" t="s">
        <v>67</v>
      </c>
      <c r="I8" s="5" t="s">
        <v>3</v>
      </c>
      <c r="J8" s="5" t="s">
        <v>68</v>
      </c>
      <c r="K8" s="5" t="s">
        <v>27</v>
      </c>
      <c r="L8" s="7">
        <v>20000</v>
      </c>
      <c r="M8" s="6">
        <v>40497</v>
      </c>
      <c r="N8" s="6">
        <v>40499</v>
      </c>
      <c r="O8" s="8">
        <v>20000</v>
      </c>
      <c r="P8" s="8">
        <f>L8-O8</f>
        <v>0</v>
      </c>
      <c r="Q8" s="8" t="str">
        <f>IF(P8=0,"Pago","Não Pago")</f>
        <v>Pago</v>
      </c>
      <c r="R8" s="5" t="s">
        <v>70</v>
      </c>
    </row>
    <row r="9" spans="1:19" x14ac:dyDescent="0.2">
      <c r="A9" s="5" t="s">
        <v>0</v>
      </c>
      <c r="B9" s="5">
        <v>166173</v>
      </c>
      <c r="C9" s="6">
        <v>40504</v>
      </c>
      <c r="D9" s="6">
        <v>40504</v>
      </c>
      <c r="E9" s="5" t="s">
        <v>65</v>
      </c>
      <c r="F9" s="5">
        <v>70554</v>
      </c>
      <c r="G9" s="5" t="s">
        <v>66</v>
      </c>
      <c r="H9" s="5" t="s">
        <v>67</v>
      </c>
      <c r="I9" s="5" t="s">
        <v>3</v>
      </c>
      <c r="J9" s="5" t="s">
        <v>68</v>
      </c>
      <c r="K9" s="5" t="s">
        <v>27</v>
      </c>
      <c r="L9" s="7">
        <v>20000</v>
      </c>
      <c r="M9" s="6">
        <v>40527</v>
      </c>
      <c r="N9" s="6">
        <v>40532</v>
      </c>
      <c r="O9" s="8">
        <v>20000</v>
      </c>
      <c r="P9" s="8">
        <f>L9-O9</f>
        <v>0</v>
      </c>
      <c r="Q9" s="8" t="str">
        <f>IF(P9=0,"Pago","Não Pago")</f>
        <v>Pago</v>
      </c>
      <c r="R9" s="5" t="s">
        <v>70</v>
      </c>
    </row>
    <row r="10" spans="1:19" x14ac:dyDescent="0.2">
      <c r="A10" s="5" t="s">
        <v>0</v>
      </c>
      <c r="B10" s="5">
        <v>171176</v>
      </c>
      <c r="C10" s="6">
        <v>40532</v>
      </c>
      <c r="D10" s="6">
        <v>40532</v>
      </c>
      <c r="E10" s="5" t="s">
        <v>65</v>
      </c>
      <c r="F10" s="5">
        <v>73355</v>
      </c>
      <c r="G10" s="5" t="s">
        <v>66</v>
      </c>
      <c r="H10" s="5" t="s">
        <v>67</v>
      </c>
      <c r="I10" s="5" t="s">
        <v>3</v>
      </c>
      <c r="J10" s="5" t="s">
        <v>68</v>
      </c>
      <c r="K10" s="5" t="s">
        <v>27</v>
      </c>
      <c r="L10" s="7">
        <v>20000</v>
      </c>
      <c r="M10" s="6">
        <v>40558</v>
      </c>
      <c r="N10" s="6">
        <v>40560</v>
      </c>
      <c r="O10" s="8">
        <v>20000</v>
      </c>
      <c r="P10" s="8">
        <f>L10-O10</f>
        <v>0</v>
      </c>
      <c r="Q10" s="8" t="str">
        <f>IF(P10=0,"Pago","Não Pago")</f>
        <v>Pago</v>
      </c>
      <c r="R10" s="5" t="s">
        <v>69</v>
      </c>
    </row>
    <row r="11" spans="1:19" x14ac:dyDescent="0.2">
      <c r="A11" s="5" t="s">
        <v>0</v>
      </c>
      <c r="B11" s="5">
        <v>176855</v>
      </c>
      <c r="C11" s="6">
        <v>40563</v>
      </c>
      <c r="D11" s="6">
        <v>40563</v>
      </c>
      <c r="E11" s="5" t="s">
        <v>65</v>
      </c>
      <c r="F11" s="5">
        <v>76199</v>
      </c>
      <c r="G11" s="5" t="s">
        <v>66</v>
      </c>
      <c r="H11" s="5" t="s">
        <v>67</v>
      </c>
      <c r="I11" s="5" t="s">
        <v>3</v>
      </c>
      <c r="J11" s="5" t="s">
        <v>68</v>
      </c>
      <c r="K11" s="5" t="s">
        <v>27</v>
      </c>
      <c r="L11" s="7">
        <v>20000</v>
      </c>
      <c r="M11" s="6">
        <v>40589</v>
      </c>
      <c r="N11" s="6">
        <v>40589</v>
      </c>
      <c r="O11" s="8">
        <v>20000</v>
      </c>
      <c r="P11" s="8">
        <f>L11-O11</f>
        <v>0</v>
      </c>
      <c r="Q11" s="8" t="str">
        <f>IF(P11=0,"Pago","Não Pago")</f>
        <v>Pago</v>
      </c>
      <c r="R11" s="5" t="s">
        <v>69</v>
      </c>
    </row>
    <row r="12" spans="1:19" x14ac:dyDescent="0.2">
      <c r="A12" s="5" t="s">
        <v>0</v>
      </c>
      <c r="B12" s="5">
        <v>626786</v>
      </c>
      <c r="C12" s="6">
        <v>42979</v>
      </c>
      <c r="D12" s="6">
        <v>42979</v>
      </c>
      <c r="E12" s="5" t="s">
        <v>65</v>
      </c>
      <c r="G12" s="5" t="s">
        <v>82</v>
      </c>
      <c r="H12" s="5" t="s">
        <v>67</v>
      </c>
      <c r="I12" s="5" t="s">
        <v>3</v>
      </c>
      <c r="J12" s="5" t="s">
        <v>68</v>
      </c>
      <c r="K12" s="5" t="s">
        <v>27</v>
      </c>
      <c r="L12" s="7">
        <v>867648</v>
      </c>
      <c r="M12" s="6">
        <v>42983</v>
      </c>
      <c r="N12" s="6">
        <v>43537</v>
      </c>
      <c r="O12" s="8">
        <v>856801.74</v>
      </c>
      <c r="P12" s="8">
        <f>L12-O12</f>
        <v>10846.260000000009</v>
      </c>
      <c r="Q12" s="8" t="str">
        <f>IF(P12=0,"Pago","Não Pago")</f>
        <v>Não Pago</v>
      </c>
      <c r="R12" s="5" t="s">
        <v>8</v>
      </c>
    </row>
    <row r="13" spans="1:19" x14ac:dyDescent="0.2">
      <c r="A13" s="5" t="s">
        <v>0</v>
      </c>
      <c r="B13" s="5">
        <v>182497</v>
      </c>
      <c r="C13" s="6">
        <v>40592</v>
      </c>
      <c r="D13" s="6">
        <v>40592</v>
      </c>
      <c r="E13" s="5" t="s">
        <v>65</v>
      </c>
      <c r="F13" s="5">
        <v>78500</v>
      </c>
      <c r="G13" s="5" t="s">
        <v>66</v>
      </c>
      <c r="H13" s="5" t="s">
        <v>67</v>
      </c>
      <c r="I13" s="5" t="s">
        <v>3</v>
      </c>
      <c r="J13" s="5" t="s">
        <v>68</v>
      </c>
      <c r="K13" s="5" t="s">
        <v>27</v>
      </c>
      <c r="L13" s="7">
        <v>20000</v>
      </c>
      <c r="M13" s="6">
        <v>40617</v>
      </c>
      <c r="N13" s="6">
        <v>40620</v>
      </c>
      <c r="O13" s="8">
        <v>20000</v>
      </c>
      <c r="P13" s="8">
        <f>L13-O13</f>
        <v>0</v>
      </c>
      <c r="Q13" s="8" t="str">
        <f>IF(P13=0,"Pago","Não Pago")</f>
        <v>Pago</v>
      </c>
      <c r="R13" s="5" t="s">
        <v>70</v>
      </c>
    </row>
    <row r="14" spans="1:19" x14ac:dyDescent="0.2">
      <c r="A14" s="5" t="s">
        <v>0</v>
      </c>
      <c r="B14" s="5">
        <v>186576</v>
      </c>
      <c r="C14" s="6">
        <v>40623</v>
      </c>
      <c r="D14" s="6">
        <v>40623</v>
      </c>
      <c r="E14" s="5" t="s">
        <v>65</v>
      </c>
      <c r="F14" s="5">
        <v>80727</v>
      </c>
      <c r="G14" s="5" t="s">
        <v>66</v>
      </c>
      <c r="H14" s="5" t="s">
        <v>67</v>
      </c>
      <c r="I14" s="5" t="s">
        <v>3</v>
      </c>
      <c r="J14" s="5" t="s">
        <v>68</v>
      </c>
      <c r="K14" s="5" t="s">
        <v>27</v>
      </c>
      <c r="L14" s="7">
        <v>20000</v>
      </c>
      <c r="M14" s="6">
        <v>40648</v>
      </c>
      <c r="N14" s="6">
        <v>40651</v>
      </c>
      <c r="O14" s="8">
        <v>20000</v>
      </c>
      <c r="P14" s="8">
        <f>L14-O14</f>
        <v>0</v>
      </c>
      <c r="Q14" s="8" t="str">
        <f>IF(P14=0,"Pago","Não Pago")</f>
        <v>Pago</v>
      </c>
      <c r="R14" s="5" t="s">
        <v>70</v>
      </c>
    </row>
    <row r="15" spans="1:19" x14ac:dyDescent="0.2">
      <c r="A15" s="5" t="s">
        <v>0</v>
      </c>
      <c r="B15" s="5">
        <v>606932</v>
      </c>
      <c r="C15" s="6">
        <v>42795</v>
      </c>
      <c r="D15" s="6">
        <v>42795</v>
      </c>
      <c r="E15" s="5" t="s">
        <v>65</v>
      </c>
      <c r="G15" s="5" t="s">
        <v>82</v>
      </c>
      <c r="H15" s="5" t="s">
        <v>67</v>
      </c>
      <c r="I15" s="5" t="s">
        <v>3</v>
      </c>
      <c r="J15" s="5" t="s">
        <v>68</v>
      </c>
      <c r="K15" s="5" t="s">
        <v>27</v>
      </c>
      <c r="L15" s="7">
        <v>994576</v>
      </c>
      <c r="M15" s="6">
        <v>42799</v>
      </c>
      <c r="N15" s="6">
        <v>43349</v>
      </c>
      <c r="O15" s="8">
        <v>829576</v>
      </c>
      <c r="P15" s="8">
        <f>L15-O15</f>
        <v>165000</v>
      </c>
      <c r="Q15" s="8" t="str">
        <f>IF(P15=0,"Pago","Não Pago")</f>
        <v>Não Pago</v>
      </c>
      <c r="R15" s="5" t="s">
        <v>8</v>
      </c>
      <c r="S15" s="5" t="s">
        <v>85</v>
      </c>
    </row>
    <row r="16" spans="1:19" x14ac:dyDescent="0.2">
      <c r="A16" s="5" t="s">
        <v>0</v>
      </c>
      <c r="B16" s="5">
        <v>606931</v>
      </c>
      <c r="C16" s="6">
        <v>42767</v>
      </c>
      <c r="D16" s="6">
        <v>42767</v>
      </c>
      <c r="E16" s="5" t="s">
        <v>65</v>
      </c>
      <c r="G16" s="5" t="s">
        <v>82</v>
      </c>
      <c r="H16" s="5" t="s">
        <v>67</v>
      </c>
      <c r="I16" s="5" t="s">
        <v>3</v>
      </c>
      <c r="J16" s="5" t="s">
        <v>68</v>
      </c>
      <c r="K16" s="5" t="s">
        <v>27</v>
      </c>
      <c r="L16" s="7">
        <v>866720</v>
      </c>
      <c r="M16" s="6">
        <v>42771</v>
      </c>
      <c r="N16" s="6">
        <v>43326</v>
      </c>
      <c r="O16" s="8">
        <v>803616.4</v>
      </c>
      <c r="P16" s="8">
        <f>L16-O16</f>
        <v>63103.599999999977</v>
      </c>
      <c r="Q16" s="8" t="str">
        <f>IF(P16=0,"Pago","Não Pago")</f>
        <v>Não Pago</v>
      </c>
      <c r="R16" s="5" t="s">
        <v>8</v>
      </c>
      <c r="S16" s="5" t="s">
        <v>85</v>
      </c>
    </row>
    <row r="17" spans="1:19" x14ac:dyDescent="0.2">
      <c r="A17" s="5" t="s">
        <v>0</v>
      </c>
      <c r="B17" s="5">
        <v>190736</v>
      </c>
      <c r="C17" s="6">
        <v>40649</v>
      </c>
      <c r="D17" s="6">
        <v>40649</v>
      </c>
      <c r="E17" s="5" t="s">
        <v>65</v>
      </c>
      <c r="F17" s="5">
        <v>83032</v>
      </c>
      <c r="G17" s="5" t="s">
        <v>66</v>
      </c>
      <c r="H17" s="5" t="s">
        <v>67</v>
      </c>
      <c r="I17" s="5" t="s">
        <v>3</v>
      </c>
      <c r="J17" s="5" t="s">
        <v>68</v>
      </c>
      <c r="K17" s="5" t="s">
        <v>27</v>
      </c>
      <c r="L17" s="7">
        <v>26666</v>
      </c>
      <c r="M17" s="6">
        <v>40678</v>
      </c>
      <c r="N17" s="6">
        <v>40675</v>
      </c>
      <c r="O17" s="8">
        <v>26666</v>
      </c>
      <c r="P17" s="8">
        <f>L17-O17</f>
        <v>0</v>
      </c>
      <c r="Q17" s="8" t="str">
        <f>IF(P17=0,"Pago","Não Pago")</f>
        <v>Pago</v>
      </c>
      <c r="R17" s="5" t="s">
        <v>71</v>
      </c>
    </row>
    <row r="18" spans="1:19" x14ac:dyDescent="0.2">
      <c r="A18" s="5" t="s">
        <v>0</v>
      </c>
      <c r="B18" s="5">
        <v>626780</v>
      </c>
      <c r="C18" s="6">
        <v>42887</v>
      </c>
      <c r="D18" s="6">
        <v>42887</v>
      </c>
      <c r="E18" s="5" t="s">
        <v>65</v>
      </c>
      <c r="G18" s="5" t="s">
        <v>82</v>
      </c>
      <c r="H18" s="5" t="s">
        <v>67</v>
      </c>
      <c r="I18" s="5" t="s">
        <v>3</v>
      </c>
      <c r="J18" s="5" t="s">
        <v>68</v>
      </c>
      <c r="K18" s="5" t="s">
        <v>27</v>
      </c>
      <c r="L18" s="7">
        <v>812416</v>
      </c>
      <c r="M18" s="6">
        <v>42891</v>
      </c>
      <c r="N18" s="6">
        <v>43708</v>
      </c>
      <c r="O18" s="8">
        <v>790416</v>
      </c>
      <c r="P18" s="8">
        <f>L18-O18</f>
        <v>22000</v>
      </c>
      <c r="Q18" s="8" t="str">
        <f>IF(P18=0,"Pago","Não Pago")</f>
        <v>Não Pago</v>
      </c>
      <c r="R18" s="5" t="s">
        <v>8</v>
      </c>
    </row>
    <row r="19" spans="1:19" x14ac:dyDescent="0.2">
      <c r="A19" s="5" t="s">
        <v>0</v>
      </c>
      <c r="B19" s="5">
        <v>196469</v>
      </c>
      <c r="C19" s="6">
        <v>40681</v>
      </c>
      <c r="D19" s="6">
        <v>40681</v>
      </c>
      <c r="E19" s="5" t="s">
        <v>65</v>
      </c>
      <c r="F19" s="5">
        <v>85777</v>
      </c>
      <c r="G19" s="5" t="s">
        <v>66</v>
      </c>
      <c r="H19" s="5" t="s">
        <v>67</v>
      </c>
      <c r="I19" s="5" t="s">
        <v>3</v>
      </c>
      <c r="J19" s="5" t="s">
        <v>68</v>
      </c>
      <c r="K19" s="5" t="s">
        <v>27</v>
      </c>
      <c r="L19" s="7">
        <v>80000</v>
      </c>
      <c r="M19" s="6">
        <v>40719</v>
      </c>
      <c r="N19" s="6">
        <v>40753</v>
      </c>
      <c r="O19" s="8">
        <v>80000</v>
      </c>
      <c r="P19" s="8">
        <f>L19-O19</f>
        <v>0</v>
      </c>
      <c r="Q19" s="8" t="str">
        <f>IF(P19=0,"Pago","Não Pago")</f>
        <v>Pago</v>
      </c>
      <c r="R19" s="5" t="s">
        <v>8</v>
      </c>
    </row>
    <row r="20" spans="1:19" x14ac:dyDescent="0.2">
      <c r="A20" s="5" t="s">
        <v>0</v>
      </c>
      <c r="B20" s="5">
        <v>205078</v>
      </c>
      <c r="C20" s="6">
        <v>40725</v>
      </c>
      <c r="D20" s="6">
        <v>40725</v>
      </c>
      <c r="E20" s="5" t="s">
        <v>65</v>
      </c>
      <c r="F20" s="5">
        <v>89677</v>
      </c>
      <c r="G20" s="5" t="s">
        <v>72</v>
      </c>
      <c r="H20" s="5" t="s">
        <v>67</v>
      </c>
      <c r="I20" s="5" t="s">
        <v>3</v>
      </c>
      <c r="J20" s="5" t="s">
        <v>68</v>
      </c>
      <c r="K20" s="5" t="s">
        <v>27</v>
      </c>
      <c r="L20" s="7">
        <v>99600</v>
      </c>
      <c r="M20" s="6">
        <v>40729</v>
      </c>
      <c r="N20" s="6">
        <v>40725</v>
      </c>
      <c r="O20" s="8">
        <v>99600</v>
      </c>
      <c r="P20" s="8">
        <f>L20-O20</f>
        <v>0</v>
      </c>
      <c r="Q20" s="8" t="str">
        <f>IF(P20=0,"Pago","Não Pago")</f>
        <v>Pago</v>
      </c>
      <c r="R20" s="5" t="s">
        <v>71</v>
      </c>
      <c r="S20" s="5" t="s">
        <v>73</v>
      </c>
    </row>
    <row r="21" spans="1:19" x14ac:dyDescent="0.2">
      <c r="A21" s="5" t="s">
        <v>0</v>
      </c>
      <c r="B21" s="5">
        <v>205079</v>
      </c>
      <c r="C21" s="6">
        <v>40725</v>
      </c>
      <c r="D21" s="6">
        <v>40725</v>
      </c>
      <c r="E21" s="5" t="s">
        <v>65</v>
      </c>
      <c r="F21" s="5">
        <v>89678</v>
      </c>
      <c r="G21" s="5" t="s">
        <v>72</v>
      </c>
      <c r="H21" s="5" t="s">
        <v>67</v>
      </c>
      <c r="I21" s="5" t="s">
        <v>3</v>
      </c>
      <c r="J21" s="5" t="s">
        <v>68</v>
      </c>
      <c r="K21" s="5" t="s">
        <v>27</v>
      </c>
      <c r="L21" s="7">
        <v>32800</v>
      </c>
      <c r="M21" s="6">
        <v>40729</v>
      </c>
      <c r="N21" s="6">
        <v>40725</v>
      </c>
      <c r="O21" s="8">
        <v>32800</v>
      </c>
      <c r="P21" s="8">
        <f>L21-O21</f>
        <v>0</v>
      </c>
      <c r="Q21" s="8" t="str">
        <f>IF(P21=0,"Pago","Não Pago")</f>
        <v>Pago</v>
      </c>
      <c r="R21" s="5" t="s">
        <v>71</v>
      </c>
      <c r="S21" s="5" t="s">
        <v>73</v>
      </c>
    </row>
    <row r="22" spans="1:19" x14ac:dyDescent="0.2">
      <c r="A22" s="5" t="s">
        <v>0</v>
      </c>
      <c r="B22" s="5">
        <v>201477</v>
      </c>
      <c r="C22" s="6">
        <v>40714</v>
      </c>
      <c r="D22" s="6">
        <v>40714</v>
      </c>
      <c r="E22" s="5" t="s">
        <v>65</v>
      </c>
      <c r="F22" s="5">
        <v>88896</v>
      </c>
      <c r="G22" s="5" t="s">
        <v>66</v>
      </c>
      <c r="H22" s="5" t="s">
        <v>67</v>
      </c>
      <c r="I22" s="5" t="s">
        <v>3</v>
      </c>
      <c r="J22" s="5" t="s">
        <v>68</v>
      </c>
      <c r="K22" s="5" t="s">
        <v>27</v>
      </c>
      <c r="L22" s="7">
        <v>132000</v>
      </c>
      <c r="M22" s="6">
        <v>40749</v>
      </c>
      <c r="N22" s="6">
        <v>40777</v>
      </c>
      <c r="O22" s="8">
        <v>132000</v>
      </c>
      <c r="P22" s="8">
        <f>L22-O22</f>
        <v>0</v>
      </c>
      <c r="Q22" s="8" t="str">
        <f>IF(P22=0,"Pago","Não Pago")</f>
        <v>Pago</v>
      </c>
      <c r="R22" s="5" t="s">
        <v>71</v>
      </c>
    </row>
    <row r="23" spans="1:19" x14ac:dyDescent="0.2">
      <c r="A23" s="5" t="s">
        <v>0</v>
      </c>
      <c r="B23" s="5">
        <v>207299</v>
      </c>
      <c r="C23" s="6">
        <v>40744</v>
      </c>
      <c r="D23" s="6">
        <v>40744</v>
      </c>
      <c r="E23" s="5" t="s">
        <v>65</v>
      </c>
      <c r="F23" s="5">
        <v>91679</v>
      </c>
      <c r="G23" s="5" t="s">
        <v>66</v>
      </c>
      <c r="H23" s="5" t="s">
        <v>67</v>
      </c>
      <c r="I23" s="5" t="s">
        <v>3</v>
      </c>
      <c r="J23" s="5" t="s">
        <v>68</v>
      </c>
      <c r="K23" s="5" t="s">
        <v>27</v>
      </c>
      <c r="L23" s="7">
        <v>240000</v>
      </c>
      <c r="M23" s="6">
        <v>40780</v>
      </c>
      <c r="N23" s="6">
        <v>40813</v>
      </c>
      <c r="O23" s="8">
        <v>240000</v>
      </c>
      <c r="P23" s="8">
        <f>L23-O23</f>
        <v>0</v>
      </c>
      <c r="Q23" s="8" t="str">
        <f>IF(P23=0,"Pago","Não Pago")</f>
        <v>Pago</v>
      </c>
      <c r="R23" s="5" t="s">
        <v>70</v>
      </c>
    </row>
    <row r="24" spans="1:19" x14ac:dyDescent="0.2">
      <c r="A24" s="5" t="s">
        <v>0</v>
      </c>
      <c r="B24" s="5">
        <v>211611</v>
      </c>
      <c r="C24" s="6">
        <v>40777</v>
      </c>
      <c r="D24" s="6">
        <v>40777</v>
      </c>
      <c r="E24" s="5" t="s">
        <v>65</v>
      </c>
      <c r="F24" s="5">
        <v>94030</v>
      </c>
      <c r="G24" s="5" t="s">
        <v>66</v>
      </c>
      <c r="H24" s="5" t="s">
        <v>67</v>
      </c>
      <c r="I24" s="5" t="s">
        <v>3</v>
      </c>
      <c r="J24" s="5" t="s">
        <v>68</v>
      </c>
      <c r="K24" s="5" t="s">
        <v>27</v>
      </c>
      <c r="L24" s="7">
        <v>48000</v>
      </c>
      <c r="M24" s="6">
        <v>40811</v>
      </c>
      <c r="N24" s="6">
        <v>40850</v>
      </c>
      <c r="O24" s="8">
        <v>48000</v>
      </c>
      <c r="P24" s="8">
        <f>L24-O24</f>
        <v>0</v>
      </c>
      <c r="Q24" s="8" t="str">
        <f>IF(P24=0,"Pago","Não Pago")</f>
        <v>Pago</v>
      </c>
      <c r="R24" s="5" t="s">
        <v>71</v>
      </c>
    </row>
    <row r="25" spans="1:19" x14ac:dyDescent="0.2">
      <c r="A25" s="5" t="s">
        <v>0</v>
      </c>
      <c r="B25" s="5">
        <v>217016</v>
      </c>
      <c r="C25" s="6">
        <v>40806</v>
      </c>
      <c r="D25" s="6">
        <v>40806</v>
      </c>
      <c r="E25" s="5" t="s">
        <v>65</v>
      </c>
      <c r="F25" s="5">
        <v>96383</v>
      </c>
      <c r="G25" s="5" t="s">
        <v>66</v>
      </c>
      <c r="H25" s="5" t="s">
        <v>67</v>
      </c>
      <c r="I25" s="5" t="s">
        <v>3</v>
      </c>
      <c r="J25" s="5" t="s">
        <v>68</v>
      </c>
      <c r="K25" s="5" t="s">
        <v>27</v>
      </c>
      <c r="L25" s="7">
        <v>48000</v>
      </c>
      <c r="M25" s="6">
        <v>40841</v>
      </c>
      <c r="N25" s="6">
        <v>40882</v>
      </c>
      <c r="O25" s="8">
        <v>48000</v>
      </c>
      <c r="P25" s="8">
        <f>L25-O25</f>
        <v>0</v>
      </c>
      <c r="Q25" s="8" t="str">
        <f>IF(P25=0,"Pago","Não Pago")</f>
        <v>Pago</v>
      </c>
      <c r="R25" s="5" t="s">
        <v>71</v>
      </c>
    </row>
    <row r="26" spans="1:19" x14ac:dyDescent="0.2">
      <c r="A26" s="5" t="s">
        <v>0</v>
      </c>
      <c r="B26" s="5">
        <v>606933</v>
      </c>
      <c r="C26" s="6">
        <v>42736</v>
      </c>
      <c r="D26" s="6">
        <v>42736</v>
      </c>
      <c r="E26" s="5" t="s">
        <v>65</v>
      </c>
      <c r="G26" s="5" t="s">
        <v>82</v>
      </c>
      <c r="H26" s="5" t="s">
        <v>67</v>
      </c>
      <c r="I26" s="5" t="s">
        <v>3</v>
      </c>
      <c r="J26" s="5" t="s">
        <v>68</v>
      </c>
      <c r="K26" s="5" t="s">
        <v>27</v>
      </c>
      <c r="L26" s="7">
        <v>614944</v>
      </c>
      <c r="M26" s="6">
        <v>42740</v>
      </c>
      <c r="N26" s="6">
        <v>43664</v>
      </c>
      <c r="O26" s="8">
        <v>547957.96</v>
      </c>
      <c r="P26" s="8">
        <f>L26-O26</f>
        <v>66986.040000000037</v>
      </c>
      <c r="Q26" s="8" t="str">
        <f>IF(P26=0,"Pago","Não Pago")</f>
        <v>Não Pago</v>
      </c>
      <c r="R26" s="5" t="s">
        <v>8</v>
      </c>
      <c r="S26" s="5" t="s">
        <v>83</v>
      </c>
    </row>
    <row r="27" spans="1:19" x14ac:dyDescent="0.2">
      <c r="A27" s="5" t="s">
        <v>0</v>
      </c>
      <c r="B27" s="5">
        <v>221451</v>
      </c>
      <c r="C27" s="6">
        <v>40836</v>
      </c>
      <c r="D27" s="6">
        <v>40836</v>
      </c>
      <c r="E27" s="5" t="s">
        <v>65</v>
      </c>
      <c r="F27" s="5">
        <v>98877</v>
      </c>
      <c r="G27" s="5" t="s">
        <v>66</v>
      </c>
      <c r="H27" s="5" t="s">
        <v>67</v>
      </c>
      <c r="I27" s="5" t="s">
        <v>3</v>
      </c>
      <c r="J27" s="5" t="s">
        <v>68</v>
      </c>
      <c r="K27" s="5" t="s">
        <v>27</v>
      </c>
      <c r="L27" s="7">
        <v>200000</v>
      </c>
      <c r="M27" s="6">
        <v>40872</v>
      </c>
      <c r="N27" s="6">
        <v>40925</v>
      </c>
      <c r="O27" s="8">
        <v>200000</v>
      </c>
      <c r="P27" s="8">
        <f>L27-O27</f>
        <v>0</v>
      </c>
      <c r="Q27" s="8" t="str">
        <f>IF(P27=0,"Pago","Não Pago")</f>
        <v>Pago</v>
      </c>
      <c r="R27" s="5" t="s">
        <v>70</v>
      </c>
    </row>
    <row r="28" spans="1:19" x14ac:dyDescent="0.2">
      <c r="A28" s="5" t="s">
        <v>0</v>
      </c>
      <c r="B28" s="5">
        <v>228489</v>
      </c>
      <c r="C28" s="6">
        <v>40863</v>
      </c>
      <c r="D28" s="6">
        <v>40863</v>
      </c>
      <c r="E28" s="5" t="s">
        <v>65</v>
      </c>
      <c r="F28" s="5">
        <v>101360</v>
      </c>
      <c r="G28" s="5" t="s">
        <v>66</v>
      </c>
      <c r="H28" s="5" t="s">
        <v>67</v>
      </c>
      <c r="I28" s="5" t="s">
        <v>3</v>
      </c>
      <c r="J28" s="5" t="s">
        <v>68</v>
      </c>
      <c r="K28" s="5" t="s">
        <v>27</v>
      </c>
      <c r="L28" s="7">
        <v>100000</v>
      </c>
      <c r="M28" s="6">
        <v>40902</v>
      </c>
      <c r="N28" s="6">
        <v>40950</v>
      </c>
      <c r="O28" s="8">
        <v>100000</v>
      </c>
      <c r="P28" s="8">
        <f>L28-O28</f>
        <v>0</v>
      </c>
      <c r="Q28" s="8" t="str">
        <f>IF(P28=0,"Pago","Não Pago")</f>
        <v>Pago</v>
      </c>
      <c r="R28" s="5" t="s">
        <v>74</v>
      </c>
    </row>
    <row r="29" spans="1:19" x14ac:dyDescent="0.2">
      <c r="A29" s="5" t="s">
        <v>0</v>
      </c>
      <c r="B29" s="5">
        <v>235649</v>
      </c>
      <c r="C29" s="6">
        <v>40882</v>
      </c>
      <c r="D29" s="6">
        <v>40882</v>
      </c>
      <c r="E29" s="5" t="s">
        <v>65</v>
      </c>
      <c r="F29" s="5">
        <v>105355</v>
      </c>
      <c r="G29" s="5" t="s">
        <v>66</v>
      </c>
      <c r="H29" s="5" t="s">
        <v>67</v>
      </c>
      <c r="I29" s="5" t="s">
        <v>3</v>
      </c>
      <c r="J29" s="5" t="s">
        <v>68</v>
      </c>
      <c r="K29" s="5" t="s">
        <v>27</v>
      </c>
      <c r="L29" s="7">
        <v>2100</v>
      </c>
      <c r="M29" s="6">
        <v>40923</v>
      </c>
      <c r="N29" s="6">
        <v>40961</v>
      </c>
      <c r="O29" s="8">
        <v>2100</v>
      </c>
      <c r="P29" s="8">
        <f>L29-O29</f>
        <v>0</v>
      </c>
      <c r="Q29" s="8" t="str">
        <f>IF(P29=0,"Pago","Não Pago")</f>
        <v>Pago</v>
      </c>
      <c r="R29" s="5" t="s">
        <v>8</v>
      </c>
      <c r="S29" s="5" t="s">
        <v>75</v>
      </c>
    </row>
    <row r="30" spans="1:19" x14ac:dyDescent="0.2">
      <c r="A30" s="5" t="s">
        <v>0</v>
      </c>
      <c r="B30" s="5">
        <v>231520</v>
      </c>
      <c r="C30" s="6">
        <v>40892</v>
      </c>
      <c r="D30" s="6">
        <v>40892</v>
      </c>
      <c r="E30" s="5" t="s">
        <v>65</v>
      </c>
      <c r="F30" s="5">
        <v>104140</v>
      </c>
      <c r="G30" s="5" t="s">
        <v>66</v>
      </c>
      <c r="H30" s="5" t="s">
        <v>67</v>
      </c>
      <c r="I30" s="5" t="s">
        <v>3</v>
      </c>
      <c r="J30" s="5" t="s">
        <v>68</v>
      </c>
      <c r="K30" s="5" t="s">
        <v>27</v>
      </c>
      <c r="L30" s="7">
        <v>50000</v>
      </c>
      <c r="M30" s="6">
        <v>40933</v>
      </c>
      <c r="N30" s="6">
        <v>40988</v>
      </c>
      <c r="O30" s="8">
        <v>50000</v>
      </c>
      <c r="P30" s="8">
        <f>L30-O30</f>
        <v>0</v>
      </c>
      <c r="Q30" s="8" t="str">
        <f>IF(P30=0,"Pago","Não Pago")</f>
        <v>Pago</v>
      </c>
      <c r="R30" s="5" t="s">
        <v>70</v>
      </c>
    </row>
    <row r="31" spans="1:19" x14ac:dyDescent="0.2">
      <c r="A31" s="5" t="s">
        <v>0</v>
      </c>
      <c r="B31" s="5">
        <v>237476</v>
      </c>
      <c r="C31" s="6">
        <v>40928</v>
      </c>
      <c r="D31" s="6">
        <v>40928</v>
      </c>
      <c r="E31" s="5" t="s">
        <v>65</v>
      </c>
      <c r="F31" s="5">
        <v>106912</v>
      </c>
      <c r="G31" s="5" t="s">
        <v>66</v>
      </c>
      <c r="H31" s="5" t="s">
        <v>67</v>
      </c>
      <c r="I31" s="5" t="s">
        <v>3</v>
      </c>
      <c r="J31" s="5" t="s">
        <v>68</v>
      </c>
      <c r="K31" s="5" t="s">
        <v>27</v>
      </c>
      <c r="L31" s="7">
        <v>600</v>
      </c>
      <c r="M31" s="6">
        <v>40954</v>
      </c>
      <c r="N31" s="6">
        <v>42110</v>
      </c>
      <c r="O31" s="8">
        <v>600</v>
      </c>
      <c r="P31" s="8">
        <f>L31-O31</f>
        <v>0</v>
      </c>
      <c r="Q31" s="8" t="str">
        <f>IF(P31=0,"Pago","Não Pago")</f>
        <v>Pago</v>
      </c>
      <c r="R31" s="5" t="s">
        <v>8</v>
      </c>
      <c r="S31" s="5" t="s">
        <v>75</v>
      </c>
    </row>
    <row r="32" spans="1:19" x14ac:dyDescent="0.2">
      <c r="A32" s="5" t="s">
        <v>0</v>
      </c>
      <c r="B32" s="5">
        <v>238335</v>
      </c>
      <c r="C32" s="6">
        <v>40928</v>
      </c>
      <c r="D32" s="6">
        <v>40928</v>
      </c>
      <c r="E32" s="5" t="s">
        <v>65</v>
      </c>
      <c r="F32" s="5">
        <v>107770</v>
      </c>
      <c r="G32" s="5" t="s">
        <v>66</v>
      </c>
      <c r="H32" s="5" t="s">
        <v>67</v>
      </c>
      <c r="I32" s="5" t="s">
        <v>3</v>
      </c>
      <c r="J32" s="5" t="s">
        <v>68</v>
      </c>
      <c r="K32" s="5" t="s">
        <v>27</v>
      </c>
      <c r="L32" s="7">
        <v>300000</v>
      </c>
      <c r="M32" s="6">
        <v>40964</v>
      </c>
      <c r="N32" s="6">
        <v>41010</v>
      </c>
      <c r="O32" s="8">
        <v>300000</v>
      </c>
      <c r="P32" s="8">
        <f>L32-O32</f>
        <v>0</v>
      </c>
      <c r="Q32" s="8" t="str">
        <f>IF(P32=0,"Pago","Não Pago")</f>
        <v>Pago</v>
      </c>
      <c r="R32" s="5" t="s">
        <v>70</v>
      </c>
    </row>
    <row r="33" spans="1:19" x14ac:dyDescent="0.2">
      <c r="A33" s="5" t="s">
        <v>0</v>
      </c>
      <c r="B33" s="5">
        <v>245001</v>
      </c>
      <c r="C33" s="6">
        <v>40954</v>
      </c>
      <c r="D33" s="6">
        <v>40954</v>
      </c>
      <c r="E33" s="5" t="s">
        <v>65</v>
      </c>
      <c r="F33" s="5">
        <v>110440</v>
      </c>
      <c r="G33" s="5" t="s">
        <v>66</v>
      </c>
      <c r="H33" s="5" t="s">
        <v>67</v>
      </c>
      <c r="I33" s="5" t="s">
        <v>3</v>
      </c>
      <c r="J33" s="5" t="s">
        <v>68</v>
      </c>
      <c r="K33" s="5" t="s">
        <v>27</v>
      </c>
      <c r="L33" s="7">
        <v>50000</v>
      </c>
      <c r="M33" s="6">
        <v>40993</v>
      </c>
      <c r="N33" s="6">
        <v>41037</v>
      </c>
      <c r="O33" s="8">
        <v>50000</v>
      </c>
      <c r="P33" s="8">
        <f>L33-O33</f>
        <v>0</v>
      </c>
      <c r="Q33" s="8" t="str">
        <f>IF(P33=0,"Pago","Não Pago")</f>
        <v>Pago</v>
      </c>
      <c r="R33" s="5" t="s">
        <v>71</v>
      </c>
    </row>
    <row r="34" spans="1:19" x14ac:dyDescent="0.2">
      <c r="A34" s="5" t="s">
        <v>0</v>
      </c>
      <c r="B34" s="5">
        <v>626785</v>
      </c>
      <c r="C34" s="6">
        <v>42979</v>
      </c>
      <c r="D34" s="6">
        <v>42979</v>
      </c>
      <c r="E34" s="5" t="s">
        <v>65</v>
      </c>
      <c r="G34" s="5" t="s">
        <v>82</v>
      </c>
      <c r="H34" s="5" t="s">
        <v>67</v>
      </c>
      <c r="I34" s="5" t="s">
        <v>3</v>
      </c>
      <c r="J34" s="5" t="s">
        <v>68</v>
      </c>
      <c r="K34" s="5" t="s">
        <v>27</v>
      </c>
      <c r="L34" s="7">
        <v>624192</v>
      </c>
      <c r="M34" s="6">
        <v>42983</v>
      </c>
      <c r="N34" s="6">
        <v>43518</v>
      </c>
      <c r="O34" s="8">
        <v>405369.72</v>
      </c>
      <c r="P34" s="8">
        <f>L34-O34</f>
        <v>218822.28000000003</v>
      </c>
      <c r="Q34" s="8" t="str">
        <f>IF(P34=0,"Pago","Não Pago")</f>
        <v>Não Pago</v>
      </c>
      <c r="R34" s="5" t="s">
        <v>8</v>
      </c>
    </row>
    <row r="35" spans="1:19" x14ac:dyDescent="0.2">
      <c r="A35" s="5" t="s">
        <v>0</v>
      </c>
      <c r="B35" s="5">
        <v>248678</v>
      </c>
      <c r="C35" s="6">
        <v>40988</v>
      </c>
      <c r="D35" s="6">
        <v>40988</v>
      </c>
      <c r="E35" s="5" t="s">
        <v>65</v>
      </c>
      <c r="F35" s="5">
        <v>113207</v>
      </c>
      <c r="G35" s="5" t="s">
        <v>66</v>
      </c>
      <c r="H35" s="5" t="s">
        <v>67</v>
      </c>
      <c r="I35" s="5" t="s">
        <v>3</v>
      </c>
      <c r="J35" s="5" t="s">
        <v>68</v>
      </c>
      <c r="K35" s="5" t="s">
        <v>27</v>
      </c>
      <c r="L35" s="7">
        <v>50000</v>
      </c>
      <c r="M35" s="6">
        <v>41024</v>
      </c>
      <c r="N35" s="6">
        <v>41093</v>
      </c>
      <c r="O35" s="8">
        <v>50000</v>
      </c>
      <c r="P35" s="8">
        <f>L35-O35</f>
        <v>0</v>
      </c>
      <c r="Q35" s="8" t="str">
        <f>IF(P35=0,"Pago","Não Pago")</f>
        <v>Pago</v>
      </c>
      <c r="R35" s="5" t="s">
        <v>71</v>
      </c>
    </row>
    <row r="36" spans="1:19" x14ac:dyDescent="0.2">
      <c r="A36" s="5" t="s">
        <v>0</v>
      </c>
      <c r="B36" s="5">
        <v>254429</v>
      </c>
      <c r="C36" s="6">
        <v>41018</v>
      </c>
      <c r="D36" s="6">
        <v>41018</v>
      </c>
      <c r="E36" s="5" t="s">
        <v>65</v>
      </c>
      <c r="F36" s="5">
        <v>115856</v>
      </c>
      <c r="G36" s="5" t="s">
        <v>66</v>
      </c>
      <c r="H36" s="5" t="s">
        <v>67</v>
      </c>
      <c r="I36" s="5" t="s">
        <v>3</v>
      </c>
      <c r="J36" s="5" t="s">
        <v>68</v>
      </c>
      <c r="K36" s="5" t="s">
        <v>27</v>
      </c>
      <c r="L36" s="7">
        <v>50000</v>
      </c>
      <c r="M36" s="6">
        <v>41054</v>
      </c>
      <c r="N36" s="6">
        <v>41093</v>
      </c>
      <c r="O36" s="8">
        <v>50000</v>
      </c>
      <c r="P36" s="8">
        <f>L36-O36</f>
        <v>0</v>
      </c>
      <c r="Q36" s="8" t="str">
        <f>IF(P36=0,"Pago","Não Pago")</f>
        <v>Pago</v>
      </c>
      <c r="R36" s="5" t="s">
        <v>71</v>
      </c>
    </row>
    <row r="37" spans="1:19" x14ac:dyDescent="0.2">
      <c r="A37" s="5" t="s">
        <v>0</v>
      </c>
      <c r="B37" s="5">
        <v>268048</v>
      </c>
      <c r="C37" s="6">
        <v>41061</v>
      </c>
      <c r="D37" s="6">
        <v>41061</v>
      </c>
      <c r="E37" s="5" t="s">
        <v>65</v>
      </c>
      <c r="F37" s="5">
        <v>122638</v>
      </c>
      <c r="G37" s="5" t="s">
        <v>76</v>
      </c>
      <c r="H37" s="5" t="s">
        <v>67</v>
      </c>
      <c r="I37" s="5" t="s">
        <v>3</v>
      </c>
      <c r="J37" s="5" t="s">
        <v>68</v>
      </c>
      <c r="K37" s="5" t="s">
        <v>27</v>
      </c>
      <c r="L37" s="7">
        <v>49.9</v>
      </c>
      <c r="M37" s="6">
        <v>41061</v>
      </c>
      <c r="N37" s="6">
        <v>42110</v>
      </c>
      <c r="O37" s="8">
        <v>49.9</v>
      </c>
      <c r="P37" s="8">
        <f>L37-O37</f>
        <v>0</v>
      </c>
      <c r="Q37" s="8" t="str">
        <f>IF(P37=0,"Pago","Não Pago")</f>
        <v>Pago</v>
      </c>
      <c r="R37" s="5" t="s">
        <v>8</v>
      </c>
      <c r="S37" s="5" t="s">
        <v>77</v>
      </c>
    </row>
    <row r="38" spans="1:19" x14ac:dyDescent="0.2">
      <c r="A38" s="5" t="s">
        <v>0</v>
      </c>
      <c r="B38" s="5">
        <v>268047</v>
      </c>
      <c r="C38" s="6">
        <v>41061</v>
      </c>
      <c r="D38" s="6">
        <v>41061</v>
      </c>
      <c r="E38" s="5" t="s">
        <v>65</v>
      </c>
      <c r="F38" s="5">
        <v>122637</v>
      </c>
      <c r="G38" s="5" t="s">
        <v>76</v>
      </c>
      <c r="H38" s="5" t="s">
        <v>67</v>
      </c>
      <c r="I38" s="5" t="s">
        <v>3</v>
      </c>
      <c r="J38" s="5" t="s">
        <v>68</v>
      </c>
      <c r="K38" s="5" t="s">
        <v>27</v>
      </c>
      <c r="L38" s="7">
        <v>49.9</v>
      </c>
      <c r="M38" s="6">
        <v>41065</v>
      </c>
      <c r="N38" s="6">
        <v>42110</v>
      </c>
      <c r="O38" s="8">
        <v>49.9</v>
      </c>
      <c r="P38" s="8">
        <f>L38-O38</f>
        <v>0</v>
      </c>
      <c r="Q38" s="8" t="str">
        <f>IF(P38=0,"Pago","Não Pago")</f>
        <v>Pago</v>
      </c>
      <c r="R38" s="5" t="s">
        <v>8</v>
      </c>
      <c r="S38" s="5" t="s">
        <v>77</v>
      </c>
    </row>
    <row r="39" spans="1:19" x14ac:dyDescent="0.2">
      <c r="A39" s="5" t="s">
        <v>0</v>
      </c>
      <c r="B39" s="5">
        <v>272598</v>
      </c>
      <c r="C39" s="6">
        <v>41080</v>
      </c>
      <c r="D39" s="6">
        <v>41080</v>
      </c>
      <c r="E39" s="5" t="s">
        <v>65</v>
      </c>
      <c r="F39" s="5">
        <v>125306</v>
      </c>
      <c r="G39" s="5" t="s">
        <v>66</v>
      </c>
      <c r="H39" s="5" t="s">
        <v>67</v>
      </c>
      <c r="I39" s="5" t="s">
        <v>3</v>
      </c>
      <c r="J39" s="5" t="s">
        <v>68</v>
      </c>
      <c r="K39" s="5" t="s">
        <v>27</v>
      </c>
      <c r="L39" s="7">
        <v>34000</v>
      </c>
      <c r="M39" s="6">
        <v>41085</v>
      </c>
      <c r="N39" s="6">
        <v>42173</v>
      </c>
      <c r="O39" s="8">
        <v>34000</v>
      </c>
      <c r="P39" s="8">
        <f>L39-O39</f>
        <v>0</v>
      </c>
      <c r="Q39" s="8" t="str">
        <f>IF(P39=0,"Pago","Não Pago")</f>
        <v>Pago</v>
      </c>
      <c r="R39" s="5" t="s">
        <v>8</v>
      </c>
    </row>
    <row r="40" spans="1:19" x14ac:dyDescent="0.2">
      <c r="A40" s="5" t="s">
        <v>0</v>
      </c>
      <c r="B40" s="5">
        <v>272599</v>
      </c>
      <c r="C40" s="6">
        <v>41080</v>
      </c>
      <c r="D40" s="6">
        <v>41080</v>
      </c>
      <c r="E40" s="5" t="s">
        <v>65</v>
      </c>
      <c r="F40" s="5">
        <v>125307</v>
      </c>
      <c r="G40" s="5" t="s">
        <v>66</v>
      </c>
      <c r="H40" s="5" t="s">
        <v>67</v>
      </c>
      <c r="I40" s="5" t="s">
        <v>3</v>
      </c>
      <c r="J40" s="5" t="s">
        <v>68</v>
      </c>
      <c r="K40" s="5" t="s">
        <v>27</v>
      </c>
      <c r="L40" s="7">
        <v>6000</v>
      </c>
      <c r="M40" s="6">
        <v>41085</v>
      </c>
      <c r="N40" s="6">
        <v>42173</v>
      </c>
      <c r="O40" s="8">
        <v>6000</v>
      </c>
      <c r="P40" s="8">
        <f>L40-O40</f>
        <v>0</v>
      </c>
      <c r="Q40" s="8" t="str">
        <f>IF(P40=0,"Pago","Não Pago")</f>
        <v>Pago</v>
      </c>
      <c r="R40" s="5" t="s">
        <v>8</v>
      </c>
    </row>
    <row r="41" spans="1:19" x14ac:dyDescent="0.2">
      <c r="A41" s="5" t="s">
        <v>0</v>
      </c>
      <c r="B41" s="5">
        <v>264544</v>
      </c>
      <c r="C41" s="6">
        <v>41080</v>
      </c>
      <c r="D41" s="6">
        <v>41080</v>
      </c>
      <c r="E41" s="5" t="s">
        <v>65</v>
      </c>
      <c r="F41" s="5">
        <v>122256</v>
      </c>
      <c r="G41" s="5" t="s">
        <v>66</v>
      </c>
      <c r="H41" s="5" t="s">
        <v>67</v>
      </c>
      <c r="I41" s="5" t="s">
        <v>3</v>
      </c>
      <c r="J41" s="5" t="s">
        <v>68</v>
      </c>
      <c r="K41" s="5" t="s">
        <v>27</v>
      </c>
      <c r="L41" s="7">
        <v>100000</v>
      </c>
      <c r="M41" s="6">
        <v>41115</v>
      </c>
      <c r="N41" s="6">
        <v>41181</v>
      </c>
      <c r="O41" s="8">
        <v>100000</v>
      </c>
      <c r="P41" s="8">
        <f>L41-O41</f>
        <v>0</v>
      </c>
      <c r="Q41" s="8" t="str">
        <f>IF(P41=0,"Pago","Não Pago")</f>
        <v>Pago</v>
      </c>
      <c r="R41" s="5" t="s">
        <v>70</v>
      </c>
    </row>
    <row r="42" spans="1:19" x14ac:dyDescent="0.2">
      <c r="A42" s="5" t="s">
        <v>0</v>
      </c>
      <c r="B42" s="5">
        <v>272597</v>
      </c>
      <c r="C42" s="6">
        <v>41115</v>
      </c>
      <c r="D42" s="6">
        <v>41115</v>
      </c>
      <c r="E42" s="5" t="s">
        <v>65</v>
      </c>
      <c r="F42" s="5">
        <v>125305</v>
      </c>
      <c r="G42" s="5" t="s">
        <v>79</v>
      </c>
      <c r="H42" s="5" t="s">
        <v>67</v>
      </c>
      <c r="I42" s="5" t="s">
        <v>3</v>
      </c>
      <c r="J42" s="5" t="s">
        <v>68</v>
      </c>
      <c r="K42" s="5" t="s">
        <v>27</v>
      </c>
      <c r="L42" s="7">
        <v>17000</v>
      </c>
      <c r="M42" s="6">
        <v>41115</v>
      </c>
      <c r="N42" s="6">
        <v>42173</v>
      </c>
      <c r="O42" s="8">
        <v>17000</v>
      </c>
      <c r="P42" s="8">
        <f>L42-O42</f>
        <v>0</v>
      </c>
      <c r="Q42" s="8" t="str">
        <f>IF(P42=0,"Pago","Não Pago")</f>
        <v>Pago</v>
      </c>
      <c r="R42" s="5" t="s">
        <v>8</v>
      </c>
    </row>
    <row r="43" spans="1:19" x14ac:dyDescent="0.2">
      <c r="A43" s="5" t="s">
        <v>0</v>
      </c>
      <c r="B43" s="5">
        <v>272600</v>
      </c>
      <c r="C43" s="6">
        <v>41110</v>
      </c>
      <c r="D43" s="6">
        <v>41110</v>
      </c>
      <c r="E43" s="5" t="s">
        <v>65</v>
      </c>
      <c r="F43" s="5">
        <v>125308</v>
      </c>
      <c r="G43" s="5" t="s">
        <v>66</v>
      </c>
      <c r="H43" s="5" t="s">
        <v>67</v>
      </c>
      <c r="I43" s="5" t="s">
        <v>3</v>
      </c>
      <c r="J43" s="5" t="s">
        <v>68</v>
      </c>
      <c r="K43" s="5" t="s">
        <v>27</v>
      </c>
      <c r="L43" s="7">
        <v>6000</v>
      </c>
      <c r="M43" s="6">
        <v>41115</v>
      </c>
      <c r="N43" s="6">
        <v>42173</v>
      </c>
      <c r="O43" s="8">
        <v>6000</v>
      </c>
      <c r="P43" s="8">
        <f>L43-O43</f>
        <v>0</v>
      </c>
      <c r="Q43" s="8" t="str">
        <f>IF(P43=0,"Pago","Não Pago")</f>
        <v>Pago</v>
      </c>
      <c r="R43" s="5" t="s">
        <v>8</v>
      </c>
    </row>
    <row r="44" spans="1:19" x14ac:dyDescent="0.2">
      <c r="A44" s="5" t="s">
        <v>0</v>
      </c>
      <c r="B44" s="5">
        <v>268556</v>
      </c>
      <c r="C44" s="6">
        <v>41109</v>
      </c>
      <c r="D44" s="6">
        <v>41109</v>
      </c>
      <c r="E44" s="5" t="s">
        <v>65</v>
      </c>
      <c r="F44" s="5">
        <v>123129</v>
      </c>
      <c r="G44" s="5" t="s">
        <v>76</v>
      </c>
      <c r="H44" s="5" t="s">
        <v>67</v>
      </c>
      <c r="I44" s="5" t="s">
        <v>3</v>
      </c>
      <c r="J44" s="5" t="s">
        <v>68</v>
      </c>
      <c r="K44" s="5" t="s">
        <v>27</v>
      </c>
      <c r="L44" s="7">
        <v>49.9</v>
      </c>
      <c r="M44" s="6">
        <v>41126</v>
      </c>
      <c r="N44" s="6">
        <v>41764</v>
      </c>
      <c r="O44" s="8">
        <v>49.9</v>
      </c>
      <c r="P44" s="8">
        <f>L44-O44</f>
        <v>0</v>
      </c>
      <c r="Q44" s="8" t="str">
        <f>IF(P44=0,"Pago","Não Pago")</f>
        <v>Pago</v>
      </c>
      <c r="R44" s="5" t="s">
        <v>8</v>
      </c>
      <c r="S44" s="5" t="s">
        <v>78</v>
      </c>
    </row>
    <row r="45" spans="1:19" x14ac:dyDescent="0.2">
      <c r="A45" s="5" t="s">
        <v>0</v>
      </c>
      <c r="B45" s="5">
        <v>273060</v>
      </c>
      <c r="C45" s="6">
        <v>41137</v>
      </c>
      <c r="D45" s="6">
        <v>41137</v>
      </c>
      <c r="E45" s="5" t="s">
        <v>65</v>
      </c>
      <c r="F45" s="5">
        <v>125747</v>
      </c>
      <c r="G45" s="5" t="s">
        <v>76</v>
      </c>
      <c r="H45" s="5" t="s">
        <v>67</v>
      </c>
      <c r="I45" s="5" t="s">
        <v>3</v>
      </c>
      <c r="J45" s="5" t="s">
        <v>68</v>
      </c>
      <c r="K45" s="5" t="s">
        <v>27</v>
      </c>
      <c r="L45" s="7">
        <v>49.9</v>
      </c>
      <c r="M45" s="6">
        <v>41157</v>
      </c>
      <c r="N45" s="6">
        <v>41764</v>
      </c>
      <c r="O45" s="8">
        <v>49.9</v>
      </c>
      <c r="P45" s="8">
        <f>L45-O45</f>
        <v>0</v>
      </c>
      <c r="Q45" s="8" t="str">
        <f>IF(P45=0,"Pago","Não Pago")</f>
        <v>Pago</v>
      </c>
      <c r="R45" s="5" t="s">
        <v>8</v>
      </c>
      <c r="S45" s="5" t="s">
        <v>78</v>
      </c>
    </row>
    <row r="46" spans="1:19" x14ac:dyDescent="0.2">
      <c r="A46" s="5" t="s">
        <v>0</v>
      </c>
      <c r="B46" s="5">
        <v>278925</v>
      </c>
      <c r="C46" s="6">
        <v>41169</v>
      </c>
      <c r="D46" s="6">
        <v>41169</v>
      </c>
      <c r="E46" s="5" t="s">
        <v>65</v>
      </c>
      <c r="F46" s="5">
        <v>128336</v>
      </c>
      <c r="G46" s="5" t="s">
        <v>76</v>
      </c>
      <c r="H46" s="5" t="s">
        <v>67</v>
      </c>
      <c r="I46" s="5" t="s">
        <v>3</v>
      </c>
      <c r="J46" s="5" t="s">
        <v>68</v>
      </c>
      <c r="K46" s="5" t="s">
        <v>27</v>
      </c>
      <c r="L46" s="7">
        <v>49.9</v>
      </c>
      <c r="M46" s="6">
        <v>41187</v>
      </c>
      <c r="N46" s="6">
        <v>41764</v>
      </c>
      <c r="O46" s="8">
        <v>49.9</v>
      </c>
      <c r="P46" s="8">
        <f>L46-O46</f>
        <v>0</v>
      </c>
      <c r="Q46" s="8" t="str">
        <f>IF(P46=0,"Pago","Não Pago")</f>
        <v>Pago</v>
      </c>
      <c r="R46" s="5" t="s">
        <v>8</v>
      </c>
      <c r="S46" s="5" t="s">
        <v>78</v>
      </c>
    </row>
    <row r="47" spans="1:19" x14ac:dyDescent="0.2">
      <c r="A47" s="5" t="s">
        <v>0</v>
      </c>
      <c r="B47" s="5">
        <v>626841</v>
      </c>
      <c r="C47" s="6">
        <v>42887</v>
      </c>
      <c r="D47" s="6">
        <v>42887</v>
      </c>
      <c r="E47" s="5" t="s">
        <v>65</v>
      </c>
      <c r="G47" s="5" t="s">
        <v>82</v>
      </c>
      <c r="H47" s="5" t="s">
        <v>67</v>
      </c>
      <c r="I47" s="5" t="s">
        <v>3</v>
      </c>
      <c r="J47" s="5" t="s">
        <v>68</v>
      </c>
      <c r="K47" s="5" t="s">
        <v>27</v>
      </c>
      <c r="L47" s="7">
        <v>439424</v>
      </c>
      <c r="M47" s="6">
        <v>42891</v>
      </c>
      <c r="N47" s="6">
        <v>43446</v>
      </c>
      <c r="O47" s="8">
        <v>280107.68</v>
      </c>
      <c r="P47" s="8">
        <f>L47-O47</f>
        <v>159316.32</v>
      </c>
      <c r="Q47" s="8" t="str">
        <f>IF(P47=0,"Pago","Não Pago")</f>
        <v>Não Pago</v>
      </c>
      <c r="R47" s="5" t="s">
        <v>8</v>
      </c>
    </row>
    <row r="48" spans="1:19" x14ac:dyDescent="0.2">
      <c r="A48" s="5" t="s">
        <v>0</v>
      </c>
      <c r="B48" s="5">
        <v>285466</v>
      </c>
      <c r="C48" s="6">
        <v>41200</v>
      </c>
      <c r="D48" s="6">
        <v>41200</v>
      </c>
      <c r="E48" s="5" t="s">
        <v>65</v>
      </c>
      <c r="F48" s="5">
        <v>132510</v>
      </c>
      <c r="G48" s="5" t="s">
        <v>66</v>
      </c>
      <c r="H48" s="5" t="s">
        <v>67</v>
      </c>
      <c r="I48" s="5" t="s">
        <v>3</v>
      </c>
      <c r="J48" s="5" t="s">
        <v>68</v>
      </c>
      <c r="K48" s="5" t="s">
        <v>27</v>
      </c>
      <c r="L48" s="7">
        <v>300000</v>
      </c>
      <c r="M48" s="6">
        <v>41238</v>
      </c>
      <c r="N48" s="6">
        <v>41286</v>
      </c>
      <c r="O48" s="8">
        <v>270000</v>
      </c>
      <c r="P48" s="8">
        <f>L48-O48</f>
        <v>30000</v>
      </c>
      <c r="Q48" s="8" t="str">
        <f>IF(P48=0,"Pago","Não Pago")</f>
        <v>Não Pago</v>
      </c>
      <c r="R48" s="5" t="s">
        <v>71</v>
      </c>
    </row>
    <row r="49" spans="1:19" x14ac:dyDescent="0.2">
      <c r="A49" s="5" t="s">
        <v>0</v>
      </c>
      <c r="B49" s="5">
        <v>283354</v>
      </c>
      <c r="C49" s="6">
        <v>41200</v>
      </c>
      <c r="D49" s="6">
        <v>41200</v>
      </c>
      <c r="E49" s="5" t="s">
        <v>65</v>
      </c>
      <c r="F49" s="5">
        <v>130814</v>
      </c>
      <c r="G49" s="5" t="s">
        <v>76</v>
      </c>
      <c r="H49" s="5" t="s">
        <v>67</v>
      </c>
      <c r="I49" s="5" t="s">
        <v>3</v>
      </c>
      <c r="J49" s="5" t="s">
        <v>68</v>
      </c>
      <c r="K49" s="5" t="s">
        <v>27</v>
      </c>
      <c r="L49" s="7">
        <v>49.9</v>
      </c>
      <c r="M49" s="6">
        <v>41218</v>
      </c>
      <c r="N49" s="6">
        <v>41764</v>
      </c>
      <c r="O49" s="8">
        <v>49.9</v>
      </c>
      <c r="P49" s="8">
        <f>L49-O49</f>
        <v>0</v>
      </c>
      <c r="Q49" s="8" t="str">
        <f>IF(P49=0,"Pago","Não Pago")</f>
        <v>Pago</v>
      </c>
      <c r="R49" s="5" t="s">
        <v>8</v>
      </c>
      <c r="S49" s="5" t="s">
        <v>78</v>
      </c>
    </row>
    <row r="50" spans="1:19" x14ac:dyDescent="0.2">
      <c r="A50" s="5" t="s">
        <v>0</v>
      </c>
      <c r="B50" s="5">
        <v>289518</v>
      </c>
      <c r="C50" s="6">
        <v>41233</v>
      </c>
      <c r="D50" s="6">
        <v>41233</v>
      </c>
      <c r="E50" s="5" t="s">
        <v>65</v>
      </c>
      <c r="F50" s="5">
        <v>133160</v>
      </c>
      <c r="G50" s="5" t="s">
        <v>76</v>
      </c>
      <c r="H50" s="5" t="s">
        <v>67</v>
      </c>
      <c r="I50" s="5" t="s">
        <v>3</v>
      </c>
      <c r="J50" s="5" t="s">
        <v>68</v>
      </c>
      <c r="K50" s="5" t="s">
        <v>27</v>
      </c>
      <c r="L50" s="7">
        <v>49.9</v>
      </c>
      <c r="M50" s="6">
        <v>41248</v>
      </c>
      <c r="N50" s="6">
        <v>41248</v>
      </c>
      <c r="O50" s="8">
        <v>49.9</v>
      </c>
      <c r="P50" s="8">
        <f>L50-O50</f>
        <v>0</v>
      </c>
      <c r="Q50" s="8" t="str">
        <f>IF(P50=0,"Pago","Não Pago")</f>
        <v>Pago</v>
      </c>
      <c r="R50" s="5" t="s">
        <v>69</v>
      </c>
      <c r="S50" s="5" t="s">
        <v>78</v>
      </c>
    </row>
    <row r="51" spans="1:19" x14ac:dyDescent="0.2">
      <c r="A51" s="5" t="s">
        <v>0</v>
      </c>
      <c r="B51" s="5">
        <v>294469</v>
      </c>
      <c r="C51" s="6">
        <v>41262</v>
      </c>
      <c r="D51" s="6">
        <v>41262</v>
      </c>
      <c r="E51" s="5" t="s">
        <v>65</v>
      </c>
      <c r="F51" s="5">
        <v>136088</v>
      </c>
      <c r="G51" s="5" t="s">
        <v>76</v>
      </c>
      <c r="H51" s="5" t="s">
        <v>67</v>
      </c>
      <c r="I51" s="5" t="s">
        <v>3</v>
      </c>
      <c r="J51" s="5" t="s">
        <v>68</v>
      </c>
      <c r="K51" s="5" t="s">
        <v>27</v>
      </c>
      <c r="L51" s="7">
        <v>49.9</v>
      </c>
      <c r="M51" s="6">
        <v>41279</v>
      </c>
      <c r="N51" s="6">
        <v>42110</v>
      </c>
      <c r="O51" s="8">
        <v>49.9</v>
      </c>
      <c r="P51" s="8">
        <f>L51-O51</f>
        <v>0</v>
      </c>
      <c r="Q51" s="8" t="str">
        <f>IF(P51=0,"Pago","Não Pago")</f>
        <v>Pago</v>
      </c>
      <c r="R51" s="5" t="s">
        <v>8</v>
      </c>
      <c r="S51" s="5" t="s">
        <v>78</v>
      </c>
    </row>
    <row r="52" spans="1:19" x14ac:dyDescent="0.2">
      <c r="A52" s="5" t="s">
        <v>0</v>
      </c>
      <c r="B52" s="5">
        <v>296135</v>
      </c>
      <c r="C52" s="6">
        <v>41262</v>
      </c>
      <c r="D52" s="6">
        <v>41262</v>
      </c>
      <c r="E52" s="5" t="s">
        <v>65</v>
      </c>
      <c r="F52" s="5">
        <v>137747</v>
      </c>
      <c r="G52" s="5" t="s">
        <v>66</v>
      </c>
      <c r="H52" s="5" t="s">
        <v>67</v>
      </c>
      <c r="I52" s="5" t="s">
        <v>3</v>
      </c>
      <c r="J52" s="5" t="s">
        <v>68</v>
      </c>
      <c r="K52" s="5" t="s">
        <v>27</v>
      </c>
      <c r="L52" s="7">
        <v>150000</v>
      </c>
      <c r="M52" s="6">
        <v>41299</v>
      </c>
      <c r="N52" s="6">
        <v>41380</v>
      </c>
      <c r="O52" s="8">
        <v>150000</v>
      </c>
      <c r="P52" s="8">
        <f>L52-O52</f>
        <v>0</v>
      </c>
      <c r="Q52" s="8" t="str">
        <f>IF(P52=0,"Pago","Não Pago")</f>
        <v>Pago</v>
      </c>
      <c r="R52" s="5" t="s">
        <v>70</v>
      </c>
    </row>
    <row r="53" spans="1:19" x14ac:dyDescent="0.2">
      <c r="A53" s="5" t="s">
        <v>0</v>
      </c>
      <c r="B53" s="5">
        <v>301737</v>
      </c>
      <c r="C53" s="6">
        <v>41295</v>
      </c>
      <c r="D53" s="6">
        <v>41295</v>
      </c>
      <c r="E53" s="5" t="s">
        <v>65</v>
      </c>
      <c r="F53" s="5">
        <v>139817</v>
      </c>
      <c r="G53" s="5" t="s">
        <v>76</v>
      </c>
      <c r="H53" s="5" t="s">
        <v>67</v>
      </c>
      <c r="I53" s="5" t="s">
        <v>3</v>
      </c>
      <c r="J53" s="5" t="s">
        <v>68</v>
      </c>
      <c r="K53" s="5" t="s">
        <v>27</v>
      </c>
      <c r="L53" s="7">
        <v>49.9</v>
      </c>
      <c r="M53" s="6">
        <v>41310</v>
      </c>
      <c r="N53" s="6">
        <v>41313</v>
      </c>
      <c r="O53" s="8">
        <v>49.9</v>
      </c>
      <c r="P53" s="8">
        <f>L53-O53</f>
        <v>0</v>
      </c>
      <c r="Q53" s="8" t="str">
        <f>IF(P53=0,"Pago","Não Pago")</f>
        <v>Pago</v>
      </c>
      <c r="R53" s="5" t="s">
        <v>69</v>
      </c>
      <c r="S53" s="5" t="s">
        <v>78</v>
      </c>
    </row>
    <row r="54" spans="1:19" x14ac:dyDescent="0.2">
      <c r="A54" s="5" t="s">
        <v>0</v>
      </c>
      <c r="B54" s="5">
        <v>626843</v>
      </c>
      <c r="C54" s="6">
        <v>42948</v>
      </c>
      <c r="D54" s="6">
        <v>42948</v>
      </c>
      <c r="E54" s="5" t="s">
        <v>65</v>
      </c>
      <c r="G54" s="5" t="s">
        <v>82</v>
      </c>
      <c r="H54" s="5" t="s">
        <v>67</v>
      </c>
      <c r="I54" s="5" t="s">
        <v>3</v>
      </c>
      <c r="J54" s="5" t="s">
        <v>68</v>
      </c>
      <c r="K54" s="5" t="s">
        <v>27</v>
      </c>
      <c r="L54" s="7">
        <v>285696</v>
      </c>
      <c r="M54" s="6">
        <v>42952</v>
      </c>
      <c r="N54" s="6">
        <v>43496</v>
      </c>
      <c r="O54" s="8">
        <v>210703.96</v>
      </c>
      <c r="P54" s="8">
        <f>L54-O54</f>
        <v>74992.040000000008</v>
      </c>
      <c r="Q54" s="8" t="str">
        <f>IF(P54=0,"Pago","Não Pago")</f>
        <v>Não Pago</v>
      </c>
      <c r="R54" s="5" t="s">
        <v>8</v>
      </c>
    </row>
    <row r="55" spans="1:19" x14ac:dyDescent="0.2">
      <c r="A55" s="5" t="s">
        <v>0</v>
      </c>
      <c r="B55" s="5">
        <v>631221</v>
      </c>
      <c r="C55" s="6">
        <v>43070</v>
      </c>
      <c r="D55" s="6">
        <v>43070</v>
      </c>
      <c r="E55" s="5" t="s">
        <v>65</v>
      </c>
      <c r="G55" s="5" t="s">
        <v>82</v>
      </c>
      <c r="H55" s="5" t="s">
        <v>67</v>
      </c>
      <c r="I55" s="5" t="s">
        <v>3</v>
      </c>
      <c r="J55" s="5" t="s">
        <v>68</v>
      </c>
      <c r="K55" s="5" t="s">
        <v>27</v>
      </c>
      <c r="L55" s="7">
        <v>797520</v>
      </c>
      <c r="M55" s="6">
        <v>43125</v>
      </c>
      <c r="N55" s="6">
        <v>43125</v>
      </c>
      <c r="O55" s="8">
        <v>202500</v>
      </c>
      <c r="P55" s="8">
        <f>L55-O55</f>
        <v>595020</v>
      </c>
      <c r="Q55" s="8" t="str">
        <f>IF(P55=0,"Pago","Não Pago")</f>
        <v>Não Pago</v>
      </c>
      <c r="R55" s="5" t="s">
        <v>8</v>
      </c>
    </row>
    <row r="56" spans="1:19" x14ac:dyDescent="0.2">
      <c r="A56" s="5" t="s">
        <v>0</v>
      </c>
      <c r="B56" s="5">
        <v>300720</v>
      </c>
      <c r="C56" s="6">
        <v>41295</v>
      </c>
      <c r="D56" s="6">
        <v>41295</v>
      </c>
      <c r="E56" s="5" t="s">
        <v>65</v>
      </c>
      <c r="F56" s="5">
        <v>138801</v>
      </c>
      <c r="G56" s="5" t="s">
        <v>66</v>
      </c>
      <c r="H56" s="5" t="s">
        <v>67</v>
      </c>
      <c r="I56" s="5" t="s">
        <v>3</v>
      </c>
      <c r="J56" s="5" t="s">
        <v>68</v>
      </c>
      <c r="K56" s="5" t="s">
        <v>27</v>
      </c>
      <c r="L56" s="7">
        <v>100000</v>
      </c>
      <c r="M56" s="6">
        <v>41330</v>
      </c>
      <c r="N56" s="6">
        <v>41422</v>
      </c>
      <c r="O56" s="8">
        <v>100000</v>
      </c>
      <c r="P56" s="8">
        <f>L56-O56</f>
        <v>0</v>
      </c>
      <c r="Q56" s="8" t="str">
        <f>IF(P56=0,"Pago","Não Pago")</f>
        <v>Pago</v>
      </c>
      <c r="R56" s="5" t="s">
        <v>71</v>
      </c>
    </row>
    <row r="57" spans="1:19" x14ac:dyDescent="0.2">
      <c r="A57" s="5" t="s">
        <v>0</v>
      </c>
      <c r="B57" s="5">
        <v>304792</v>
      </c>
      <c r="C57" s="6">
        <v>41324</v>
      </c>
      <c r="D57" s="6">
        <v>41324</v>
      </c>
      <c r="E57" s="5" t="s">
        <v>65</v>
      </c>
      <c r="F57" s="5">
        <v>140888</v>
      </c>
      <c r="G57" s="5" t="s">
        <v>76</v>
      </c>
      <c r="H57" s="5" t="s">
        <v>67</v>
      </c>
      <c r="I57" s="5" t="s">
        <v>3</v>
      </c>
      <c r="J57" s="5" t="s">
        <v>68</v>
      </c>
      <c r="K57" s="5" t="s">
        <v>27</v>
      </c>
      <c r="L57" s="7">
        <v>49.9</v>
      </c>
      <c r="M57" s="6">
        <v>41338</v>
      </c>
      <c r="N57" s="6">
        <v>41338</v>
      </c>
      <c r="O57" s="8">
        <v>49.9</v>
      </c>
      <c r="P57" s="8">
        <f>L57-O57</f>
        <v>0</v>
      </c>
      <c r="Q57" s="8" t="str">
        <f>IF(P57=0,"Pago","Não Pago")</f>
        <v>Pago</v>
      </c>
      <c r="R57" s="5" t="s">
        <v>69</v>
      </c>
      <c r="S57" s="5" t="s">
        <v>78</v>
      </c>
    </row>
    <row r="58" spans="1:19" x14ac:dyDescent="0.2">
      <c r="A58" s="5" t="s">
        <v>0</v>
      </c>
      <c r="B58" s="5">
        <v>306391</v>
      </c>
      <c r="C58" s="6">
        <v>41324</v>
      </c>
      <c r="D58" s="6">
        <v>41324</v>
      </c>
      <c r="E58" s="5" t="s">
        <v>65</v>
      </c>
      <c r="F58" s="5">
        <v>142483</v>
      </c>
      <c r="G58" s="5" t="s">
        <v>66</v>
      </c>
      <c r="H58" s="5" t="s">
        <v>67</v>
      </c>
      <c r="I58" s="5" t="s">
        <v>3</v>
      </c>
      <c r="J58" s="5" t="s">
        <v>68</v>
      </c>
      <c r="K58" s="5" t="s">
        <v>27</v>
      </c>
      <c r="L58" s="7">
        <v>100000</v>
      </c>
      <c r="M58" s="6">
        <v>41358</v>
      </c>
      <c r="N58" s="6">
        <v>41460</v>
      </c>
      <c r="O58" s="8">
        <v>100000</v>
      </c>
      <c r="P58" s="8">
        <f>L58-O58</f>
        <v>0</v>
      </c>
      <c r="Q58" s="8" t="str">
        <f>IF(P58=0,"Pago","Não Pago")</f>
        <v>Pago</v>
      </c>
      <c r="R58" s="5" t="s">
        <v>80</v>
      </c>
    </row>
    <row r="59" spans="1:19" x14ac:dyDescent="0.2">
      <c r="A59" s="5" t="s">
        <v>0</v>
      </c>
      <c r="B59" s="5">
        <v>310566</v>
      </c>
      <c r="C59" s="6">
        <v>41349</v>
      </c>
      <c r="D59" s="6">
        <v>41349</v>
      </c>
      <c r="E59" s="5" t="s">
        <v>65</v>
      </c>
      <c r="F59" s="5">
        <v>143125</v>
      </c>
      <c r="G59" s="5" t="s">
        <v>76</v>
      </c>
      <c r="H59" s="5" t="s">
        <v>67</v>
      </c>
      <c r="I59" s="5" t="s">
        <v>3</v>
      </c>
      <c r="J59" s="5" t="s">
        <v>68</v>
      </c>
      <c r="K59" s="5" t="s">
        <v>27</v>
      </c>
      <c r="L59" s="7">
        <v>49.9</v>
      </c>
      <c r="M59" s="6">
        <v>41369</v>
      </c>
      <c r="N59" s="6">
        <v>41369</v>
      </c>
      <c r="O59" s="8">
        <v>49.9</v>
      </c>
      <c r="P59" s="8">
        <f>L59-O59</f>
        <v>0</v>
      </c>
      <c r="Q59" s="8" t="str">
        <f>IF(P59=0,"Pago","Não Pago")</f>
        <v>Pago</v>
      </c>
      <c r="R59" s="5" t="s">
        <v>69</v>
      </c>
      <c r="S59" s="5" t="s">
        <v>78</v>
      </c>
    </row>
    <row r="60" spans="1:19" x14ac:dyDescent="0.2">
      <c r="A60" s="5" t="s">
        <v>0</v>
      </c>
      <c r="B60" s="5">
        <v>312147</v>
      </c>
      <c r="C60" s="6">
        <v>41349</v>
      </c>
      <c r="D60" s="6">
        <v>41349</v>
      </c>
      <c r="E60" s="5" t="s">
        <v>65</v>
      </c>
      <c r="F60" s="5">
        <v>144702</v>
      </c>
      <c r="G60" s="5" t="s">
        <v>66</v>
      </c>
      <c r="H60" s="5" t="s">
        <v>67</v>
      </c>
      <c r="I60" s="5" t="s">
        <v>3</v>
      </c>
      <c r="J60" s="5" t="s">
        <v>68</v>
      </c>
      <c r="K60" s="5" t="s">
        <v>27</v>
      </c>
      <c r="L60" s="7">
        <v>100000</v>
      </c>
      <c r="M60" s="6">
        <v>41389</v>
      </c>
      <c r="N60" s="6">
        <v>41506</v>
      </c>
      <c r="O60" s="8">
        <v>100000</v>
      </c>
      <c r="P60" s="8">
        <f>L60-O60</f>
        <v>0</v>
      </c>
      <c r="Q60" s="8" t="str">
        <f>IF(P60=0,"Pago","Não Pago")</f>
        <v>Pago</v>
      </c>
      <c r="R60" s="5" t="s">
        <v>70</v>
      </c>
    </row>
    <row r="61" spans="1:19" x14ac:dyDescent="0.2">
      <c r="A61" s="5" t="s">
        <v>0</v>
      </c>
      <c r="B61" s="5">
        <v>314872</v>
      </c>
      <c r="C61" s="6">
        <v>41380</v>
      </c>
      <c r="D61" s="6">
        <v>41380</v>
      </c>
      <c r="E61" s="5" t="s">
        <v>65</v>
      </c>
      <c r="F61" s="5">
        <v>145252</v>
      </c>
      <c r="G61" s="5" t="s">
        <v>76</v>
      </c>
      <c r="H61" s="5" t="s">
        <v>67</v>
      </c>
      <c r="I61" s="5" t="s">
        <v>3</v>
      </c>
      <c r="J61" s="5" t="s">
        <v>68</v>
      </c>
      <c r="K61" s="5" t="s">
        <v>27</v>
      </c>
      <c r="L61" s="7">
        <v>49.9</v>
      </c>
      <c r="M61" s="6">
        <v>41399</v>
      </c>
      <c r="N61" s="6">
        <v>41403</v>
      </c>
      <c r="O61" s="8">
        <v>49.9</v>
      </c>
      <c r="P61" s="8">
        <f>L61-O61</f>
        <v>0</v>
      </c>
      <c r="Q61" s="8" t="str">
        <f>IF(P61=0,"Pago","Não Pago")</f>
        <v>Pago</v>
      </c>
      <c r="R61" s="5" t="s">
        <v>69</v>
      </c>
      <c r="S61" s="5" t="s">
        <v>78</v>
      </c>
    </row>
    <row r="62" spans="1:19" x14ac:dyDescent="0.2">
      <c r="A62" s="5" t="s">
        <v>0</v>
      </c>
      <c r="B62" s="5">
        <v>316796</v>
      </c>
      <c r="C62" s="6">
        <v>41380</v>
      </c>
      <c r="D62" s="6">
        <v>41380</v>
      </c>
      <c r="E62" s="5" t="s">
        <v>65</v>
      </c>
      <c r="F62" s="5">
        <v>146791</v>
      </c>
      <c r="G62" s="5" t="s">
        <v>66</v>
      </c>
      <c r="H62" s="5" t="s">
        <v>67</v>
      </c>
      <c r="I62" s="5" t="s">
        <v>3</v>
      </c>
      <c r="J62" s="5" t="s">
        <v>68</v>
      </c>
      <c r="K62" s="5" t="s">
        <v>27</v>
      </c>
      <c r="L62" s="7">
        <v>100000</v>
      </c>
      <c r="M62" s="6">
        <v>41419</v>
      </c>
      <c r="N62" s="6">
        <v>41528</v>
      </c>
      <c r="O62" s="8">
        <v>100000</v>
      </c>
      <c r="P62" s="8">
        <f>L62-O62</f>
        <v>0</v>
      </c>
      <c r="Q62" s="8" t="str">
        <f>IF(P62=0,"Pago","Não Pago")</f>
        <v>Pago</v>
      </c>
      <c r="R62" s="5" t="s">
        <v>70</v>
      </c>
    </row>
    <row r="63" spans="1:19" x14ac:dyDescent="0.2">
      <c r="A63" s="5" t="s">
        <v>0</v>
      </c>
      <c r="B63" s="5">
        <v>626779</v>
      </c>
      <c r="C63" s="6">
        <v>42856</v>
      </c>
      <c r="D63" s="6">
        <v>42856</v>
      </c>
      <c r="E63" s="5" t="s">
        <v>65</v>
      </c>
      <c r="G63" s="5" t="s">
        <v>82</v>
      </c>
      <c r="H63" s="5" t="s">
        <v>67</v>
      </c>
      <c r="I63" s="5" t="s">
        <v>3</v>
      </c>
      <c r="J63" s="5" t="s">
        <v>68</v>
      </c>
      <c r="K63" s="5" t="s">
        <v>27</v>
      </c>
      <c r="L63" s="7">
        <v>202016</v>
      </c>
      <c r="M63" s="6">
        <v>42860</v>
      </c>
      <c r="N63" s="6">
        <v>43455</v>
      </c>
      <c r="O63" s="8">
        <v>159600.04</v>
      </c>
      <c r="P63" s="8">
        <f>L63-O63</f>
        <v>42415.959999999992</v>
      </c>
      <c r="Q63" s="8" t="str">
        <f>IF(P63=0,"Pago","Não Pago")</f>
        <v>Não Pago</v>
      </c>
      <c r="R63" s="5" t="s">
        <v>8</v>
      </c>
    </row>
    <row r="64" spans="1:19" x14ac:dyDescent="0.2">
      <c r="A64" s="5" t="s">
        <v>0</v>
      </c>
      <c r="B64" s="5">
        <v>319696</v>
      </c>
      <c r="C64" s="6">
        <v>41411</v>
      </c>
      <c r="D64" s="6">
        <v>41411</v>
      </c>
      <c r="E64" s="5" t="s">
        <v>65</v>
      </c>
      <c r="F64" s="5">
        <v>147435</v>
      </c>
      <c r="G64" s="5" t="s">
        <v>76</v>
      </c>
      <c r="H64" s="5" t="s">
        <v>67</v>
      </c>
      <c r="I64" s="5" t="s">
        <v>3</v>
      </c>
      <c r="J64" s="5" t="s">
        <v>68</v>
      </c>
      <c r="K64" s="5" t="s">
        <v>27</v>
      </c>
      <c r="L64" s="7">
        <v>49.9</v>
      </c>
      <c r="M64" s="6">
        <v>41430</v>
      </c>
      <c r="N64" s="6">
        <v>42110</v>
      </c>
      <c r="O64" s="8">
        <v>49.9</v>
      </c>
      <c r="P64" s="8">
        <f>L64-O64</f>
        <v>0</v>
      </c>
      <c r="Q64" s="8" t="str">
        <f>IF(P64=0,"Pago","Não Pago")</f>
        <v>Pago</v>
      </c>
      <c r="R64" s="5" t="s">
        <v>8</v>
      </c>
      <c r="S64" s="5" t="s">
        <v>78</v>
      </c>
    </row>
    <row r="65" spans="1:19" x14ac:dyDescent="0.2">
      <c r="A65" s="5" t="s">
        <v>0</v>
      </c>
      <c r="B65" s="5">
        <v>321253</v>
      </c>
      <c r="C65" s="6">
        <v>41411</v>
      </c>
      <c r="D65" s="6">
        <v>41411</v>
      </c>
      <c r="E65" s="5" t="s">
        <v>65</v>
      </c>
      <c r="F65" s="5">
        <v>148971</v>
      </c>
      <c r="G65" s="5" t="s">
        <v>66</v>
      </c>
      <c r="H65" s="5" t="s">
        <v>67</v>
      </c>
      <c r="I65" s="5" t="s">
        <v>3</v>
      </c>
      <c r="J65" s="5" t="s">
        <v>68</v>
      </c>
      <c r="K65" s="5" t="s">
        <v>27</v>
      </c>
      <c r="L65" s="7">
        <v>150000</v>
      </c>
      <c r="M65" s="6">
        <v>41450</v>
      </c>
      <c r="N65" s="6">
        <v>41570</v>
      </c>
      <c r="O65" s="8">
        <v>150000</v>
      </c>
      <c r="P65" s="8">
        <f>L65-O65</f>
        <v>0</v>
      </c>
      <c r="Q65" s="8" t="str">
        <f>IF(P65=0,"Pago","Não Pago")</f>
        <v>Pago</v>
      </c>
      <c r="R65" s="5" t="s">
        <v>8</v>
      </c>
    </row>
    <row r="66" spans="1:19" x14ac:dyDescent="0.2">
      <c r="A66" s="5" t="s">
        <v>0</v>
      </c>
      <c r="B66" s="5">
        <v>327020</v>
      </c>
      <c r="C66" s="6">
        <v>41442</v>
      </c>
      <c r="D66" s="6">
        <v>41442</v>
      </c>
      <c r="E66" s="5" t="s">
        <v>65</v>
      </c>
      <c r="F66" s="5">
        <v>149479</v>
      </c>
      <c r="G66" s="5" t="s">
        <v>76</v>
      </c>
      <c r="H66" s="5" t="s">
        <v>67</v>
      </c>
      <c r="I66" s="5" t="s">
        <v>3</v>
      </c>
      <c r="J66" s="5" t="s">
        <v>68</v>
      </c>
      <c r="K66" s="5" t="s">
        <v>27</v>
      </c>
      <c r="L66" s="7">
        <v>99.8</v>
      </c>
      <c r="M66" s="6">
        <v>41460</v>
      </c>
      <c r="N66" s="6">
        <v>42173</v>
      </c>
      <c r="O66" s="8">
        <v>99.8</v>
      </c>
      <c r="P66" s="8">
        <f>L66-O66</f>
        <v>0</v>
      </c>
      <c r="Q66" s="8" t="str">
        <f>IF(P66=0,"Pago","Não Pago")</f>
        <v>Pago</v>
      </c>
      <c r="R66" s="5" t="s">
        <v>8</v>
      </c>
      <c r="S66" s="5" t="s">
        <v>78</v>
      </c>
    </row>
    <row r="67" spans="1:19" x14ac:dyDescent="0.2">
      <c r="A67" s="5" t="s">
        <v>0</v>
      </c>
      <c r="B67" s="5">
        <v>328482</v>
      </c>
      <c r="C67" s="6">
        <v>41442</v>
      </c>
      <c r="D67" s="6">
        <v>41442</v>
      </c>
      <c r="E67" s="5" t="s">
        <v>65</v>
      </c>
      <c r="F67" s="5">
        <v>150938</v>
      </c>
      <c r="G67" s="5" t="s">
        <v>66</v>
      </c>
      <c r="H67" s="5" t="s">
        <v>67</v>
      </c>
      <c r="I67" s="5" t="s">
        <v>3</v>
      </c>
      <c r="J67" s="5" t="s">
        <v>68</v>
      </c>
      <c r="K67" s="5" t="s">
        <v>27</v>
      </c>
      <c r="L67" s="7">
        <v>150000</v>
      </c>
      <c r="M67" s="6">
        <v>41480</v>
      </c>
      <c r="N67" s="6">
        <v>41597</v>
      </c>
      <c r="O67" s="8">
        <v>150000</v>
      </c>
      <c r="P67" s="8">
        <f>L67-O67</f>
        <v>0</v>
      </c>
      <c r="Q67" s="8" t="str">
        <f>IF(P67=0,"Pago","Não Pago")</f>
        <v>Pago</v>
      </c>
      <c r="R67" s="5" t="s">
        <v>70</v>
      </c>
    </row>
    <row r="68" spans="1:19" x14ac:dyDescent="0.2">
      <c r="A68" s="5" t="s">
        <v>0</v>
      </c>
      <c r="B68" s="5">
        <v>332043</v>
      </c>
      <c r="C68" s="6">
        <v>41473</v>
      </c>
      <c r="D68" s="6">
        <v>41473</v>
      </c>
      <c r="E68" s="5" t="s">
        <v>65</v>
      </c>
      <c r="F68" s="5">
        <v>151596</v>
      </c>
      <c r="G68" s="5" t="s">
        <v>76</v>
      </c>
      <c r="H68" s="5" t="s">
        <v>67</v>
      </c>
      <c r="I68" s="5" t="s">
        <v>3</v>
      </c>
      <c r="J68" s="5" t="s">
        <v>68</v>
      </c>
      <c r="K68" s="5" t="s">
        <v>27</v>
      </c>
      <c r="L68" s="7">
        <v>49.9</v>
      </c>
      <c r="M68" s="6">
        <v>41491</v>
      </c>
      <c r="N68" s="6">
        <v>42173</v>
      </c>
      <c r="O68" s="8">
        <v>49.9</v>
      </c>
      <c r="P68" s="8">
        <f>L68-O68</f>
        <v>0</v>
      </c>
      <c r="Q68" s="8" t="str">
        <f>IF(P68=0,"Pago","Não Pago")</f>
        <v>Pago</v>
      </c>
      <c r="R68" s="5" t="s">
        <v>8</v>
      </c>
      <c r="S68" s="5" t="s">
        <v>78</v>
      </c>
    </row>
    <row r="69" spans="1:19" x14ac:dyDescent="0.2">
      <c r="A69" s="5" t="s">
        <v>0</v>
      </c>
      <c r="B69" s="5">
        <v>333498</v>
      </c>
      <c r="C69" s="6">
        <v>41473</v>
      </c>
      <c r="D69" s="6">
        <v>41473</v>
      </c>
      <c r="E69" s="5" t="s">
        <v>65</v>
      </c>
      <c r="F69" s="5">
        <v>153046</v>
      </c>
      <c r="G69" s="5" t="s">
        <v>66</v>
      </c>
      <c r="H69" s="5" t="s">
        <v>67</v>
      </c>
      <c r="I69" s="5" t="s">
        <v>3</v>
      </c>
      <c r="J69" s="5" t="s">
        <v>68</v>
      </c>
      <c r="K69" s="5" t="s">
        <v>27</v>
      </c>
      <c r="L69" s="7">
        <v>150000</v>
      </c>
      <c r="M69" s="6">
        <v>41511</v>
      </c>
      <c r="N69" s="6">
        <v>41625</v>
      </c>
      <c r="O69" s="8">
        <v>150000</v>
      </c>
      <c r="P69" s="8">
        <f>L69-O69</f>
        <v>0</v>
      </c>
      <c r="Q69" s="8" t="str">
        <f>IF(P69=0,"Pago","Não Pago")</f>
        <v>Pago</v>
      </c>
      <c r="R69" s="5" t="s">
        <v>8</v>
      </c>
    </row>
    <row r="70" spans="1:19" x14ac:dyDescent="0.2">
      <c r="A70" s="5" t="s">
        <v>0</v>
      </c>
      <c r="B70" s="5">
        <v>338253</v>
      </c>
      <c r="C70" s="6">
        <v>41505</v>
      </c>
      <c r="D70" s="6">
        <v>41505</v>
      </c>
      <c r="E70" s="5" t="s">
        <v>65</v>
      </c>
      <c r="F70" s="5">
        <v>153563</v>
      </c>
      <c r="G70" s="5" t="s">
        <v>76</v>
      </c>
      <c r="H70" s="5" t="s">
        <v>67</v>
      </c>
      <c r="I70" s="5" t="s">
        <v>3</v>
      </c>
      <c r="J70" s="5" t="s">
        <v>68</v>
      </c>
      <c r="K70" s="5" t="s">
        <v>27</v>
      </c>
      <c r="L70" s="7">
        <v>49.9</v>
      </c>
      <c r="M70" s="6">
        <v>41522</v>
      </c>
      <c r="N70" s="6">
        <v>42173</v>
      </c>
      <c r="O70" s="8">
        <v>49.9</v>
      </c>
      <c r="P70" s="8">
        <f>L70-O70</f>
        <v>0</v>
      </c>
      <c r="Q70" s="8" t="str">
        <f>IF(P70=0,"Pago","Não Pago")</f>
        <v>Pago</v>
      </c>
      <c r="R70" s="5" t="s">
        <v>8</v>
      </c>
      <c r="S70" s="5" t="s">
        <v>78</v>
      </c>
    </row>
    <row r="71" spans="1:19" x14ac:dyDescent="0.2">
      <c r="A71" s="5" t="s">
        <v>0</v>
      </c>
      <c r="B71" s="5">
        <v>339714</v>
      </c>
      <c r="C71" s="6">
        <v>41505</v>
      </c>
      <c r="D71" s="6">
        <v>41505</v>
      </c>
      <c r="E71" s="5" t="s">
        <v>65</v>
      </c>
      <c r="F71" s="5">
        <v>155021</v>
      </c>
      <c r="G71" s="5" t="s">
        <v>66</v>
      </c>
      <c r="H71" s="5" t="s">
        <v>67</v>
      </c>
      <c r="I71" s="5" t="s">
        <v>3</v>
      </c>
      <c r="J71" s="5" t="s">
        <v>68</v>
      </c>
      <c r="K71" s="5" t="s">
        <v>27</v>
      </c>
      <c r="L71" s="7">
        <v>150000</v>
      </c>
      <c r="M71" s="6">
        <v>41542</v>
      </c>
      <c r="N71" s="6">
        <v>41652</v>
      </c>
      <c r="O71" s="8">
        <v>150000</v>
      </c>
      <c r="P71" s="8">
        <f>L71-O71</f>
        <v>0</v>
      </c>
      <c r="Q71" s="8" t="str">
        <f>IF(P71=0,"Pago","Não Pago")</f>
        <v>Pago</v>
      </c>
      <c r="R71" s="5" t="s">
        <v>81</v>
      </c>
    </row>
    <row r="72" spans="1:19" x14ac:dyDescent="0.2">
      <c r="A72" s="5" t="s">
        <v>0</v>
      </c>
      <c r="B72" s="5">
        <v>343101</v>
      </c>
      <c r="C72" s="6">
        <v>41535</v>
      </c>
      <c r="D72" s="6">
        <v>41535</v>
      </c>
      <c r="E72" s="5" t="s">
        <v>65</v>
      </c>
      <c r="F72" s="5">
        <v>155594</v>
      </c>
      <c r="G72" s="5" t="s">
        <v>76</v>
      </c>
      <c r="H72" s="5" t="s">
        <v>67</v>
      </c>
      <c r="I72" s="5" t="s">
        <v>3</v>
      </c>
      <c r="J72" s="5" t="s">
        <v>68</v>
      </c>
      <c r="K72" s="5" t="s">
        <v>27</v>
      </c>
      <c r="L72" s="7">
        <v>49.9</v>
      </c>
      <c r="M72" s="6">
        <v>41552</v>
      </c>
      <c r="N72" s="6">
        <v>41582</v>
      </c>
      <c r="O72" s="8">
        <v>49.9</v>
      </c>
      <c r="P72" s="8">
        <f>L72-O72</f>
        <v>0</v>
      </c>
      <c r="Q72" s="8" t="str">
        <f>IF(P72=0,"Pago","Não Pago")</f>
        <v>Pago</v>
      </c>
      <c r="R72" s="5" t="s">
        <v>69</v>
      </c>
      <c r="S72" s="5" t="s">
        <v>78</v>
      </c>
    </row>
    <row r="73" spans="1:19" x14ac:dyDescent="0.2">
      <c r="A73" s="5" t="s">
        <v>0</v>
      </c>
      <c r="B73" s="5">
        <v>274854</v>
      </c>
      <c r="C73" s="6">
        <v>41137</v>
      </c>
      <c r="D73" s="6">
        <v>41137</v>
      </c>
      <c r="E73" s="5" t="s">
        <v>65</v>
      </c>
      <c r="F73" s="5">
        <v>127534</v>
      </c>
      <c r="G73" s="5" t="s">
        <v>66</v>
      </c>
      <c r="H73" s="5" t="s">
        <v>67</v>
      </c>
      <c r="I73" s="5" t="s">
        <v>3</v>
      </c>
      <c r="J73" s="5" t="s">
        <v>68</v>
      </c>
      <c r="K73" s="5" t="s">
        <v>27</v>
      </c>
      <c r="L73" s="7">
        <v>150000</v>
      </c>
      <c r="M73" s="6">
        <v>41177</v>
      </c>
      <c r="N73" s="6">
        <v>41225</v>
      </c>
      <c r="O73" s="8">
        <v>135000</v>
      </c>
      <c r="P73" s="8">
        <f>L73-O73</f>
        <v>15000</v>
      </c>
      <c r="Q73" s="8" t="str">
        <f>IF(P73=0,"Pago","Não Pago")</f>
        <v>Não Pago</v>
      </c>
      <c r="R73" s="5" t="s">
        <v>70</v>
      </c>
    </row>
    <row r="74" spans="1:19" x14ac:dyDescent="0.2">
      <c r="A74" s="5" t="s">
        <v>0</v>
      </c>
      <c r="B74" s="5">
        <v>344584</v>
      </c>
      <c r="C74" s="6">
        <v>41535</v>
      </c>
      <c r="D74" s="6">
        <v>41535</v>
      </c>
      <c r="E74" s="5" t="s">
        <v>65</v>
      </c>
      <c r="F74" s="5">
        <v>157076</v>
      </c>
      <c r="G74" s="5" t="s">
        <v>66</v>
      </c>
      <c r="H74" s="5" t="s">
        <v>67</v>
      </c>
      <c r="I74" s="5" t="s">
        <v>3</v>
      </c>
      <c r="J74" s="5" t="s">
        <v>68</v>
      </c>
      <c r="K74" s="5" t="s">
        <v>27</v>
      </c>
      <c r="L74" s="7">
        <v>150000</v>
      </c>
      <c r="M74" s="6">
        <v>41572</v>
      </c>
      <c r="N74" s="6">
        <v>41676</v>
      </c>
      <c r="O74" s="8">
        <v>150000</v>
      </c>
      <c r="P74" s="8">
        <f>L74-O74</f>
        <v>0</v>
      </c>
      <c r="Q74" s="8" t="str">
        <f>IF(P74=0,"Pago","Não Pago")</f>
        <v>Pago</v>
      </c>
      <c r="R74" s="5" t="s">
        <v>8</v>
      </c>
    </row>
    <row r="75" spans="1:19" x14ac:dyDescent="0.2">
      <c r="A75" s="5" t="s">
        <v>0</v>
      </c>
      <c r="B75" s="5">
        <v>349115</v>
      </c>
      <c r="C75" s="6">
        <v>41563</v>
      </c>
      <c r="D75" s="6">
        <v>41563</v>
      </c>
      <c r="E75" s="5" t="s">
        <v>65</v>
      </c>
      <c r="F75" s="5">
        <v>157575</v>
      </c>
      <c r="G75" s="5" t="s">
        <v>76</v>
      </c>
      <c r="H75" s="5" t="s">
        <v>67</v>
      </c>
      <c r="I75" s="5" t="s">
        <v>3</v>
      </c>
      <c r="J75" s="5" t="s">
        <v>68</v>
      </c>
      <c r="K75" s="5" t="s">
        <v>27</v>
      </c>
      <c r="L75" s="7">
        <v>49.9</v>
      </c>
      <c r="M75" s="6">
        <v>41583</v>
      </c>
      <c r="N75" s="6">
        <v>42173</v>
      </c>
      <c r="O75" s="8">
        <v>49.9</v>
      </c>
      <c r="P75" s="8">
        <f>L75-O75</f>
        <v>0</v>
      </c>
      <c r="Q75" s="8" t="str">
        <f>IF(P75=0,"Pago","Não Pago")</f>
        <v>Pago</v>
      </c>
      <c r="R75" s="5" t="s">
        <v>8</v>
      </c>
      <c r="S75" s="5" t="s">
        <v>78</v>
      </c>
    </row>
    <row r="76" spans="1:19" x14ac:dyDescent="0.2">
      <c r="A76" s="5" t="s">
        <v>0</v>
      </c>
      <c r="B76" s="5">
        <v>350587</v>
      </c>
      <c r="C76" s="6">
        <v>41563</v>
      </c>
      <c r="D76" s="6">
        <v>41563</v>
      </c>
      <c r="E76" s="5" t="s">
        <v>65</v>
      </c>
      <c r="F76" s="5">
        <v>159046</v>
      </c>
      <c r="G76" s="5" t="s">
        <v>66</v>
      </c>
      <c r="H76" s="5" t="s">
        <v>67</v>
      </c>
      <c r="I76" s="5" t="s">
        <v>3</v>
      </c>
      <c r="J76" s="5" t="s">
        <v>68</v>
      </c>
      <c r="K76" s="5" t="s">
        <v>27</v>
      </c>
      <c r="L76" s="7">
        <v>250000</v>
      </c>
      <c r="M76" s="6">
        <v>41603</v>
      </c>
      <c r="N76" s="6">
        <v>41712</v>
      </c>
      <c r="O76" s="8">
        <v>250000</v>
      </c>
      <c r="P76" s="8">
        <f>L76-O76</f>
        <v>0</v>
      </c>
      <c r="Q76" s="8" t="str">
        <f>IF(P76=0,"Pago","Não Pago")</f>
        <v>Pago</v>
      </c>
      <c r="R76" s="5" t="s">
        <v>81</v>
      </c>
    </row>
    <row r="77" spans="1:19" x14ac:dyDescent="0.2">
      <c r="A77" s="5" t="s">
        <v>0</v>
      </c>
      <c r="B77" s="5">
        <v>354170</v>
      </c>
      <c r="C77" s="6">
        <v>41598</v>
      </c>
      <c r="D77" s="6">
        <v>41598</v>
      </c>
      <c r="E77" s="5" t="s">
        <v>65</v>
      </c>
      <c r="F77" s="5">
        <v>159704</v>
      </c>
      <c r="G77" s="5" t="s">
        <v>76</v>
      </c>
      <c r="H77" s="5" t="s">
        <v>67</v>
      </c>
      <c r="I77" s="5" t="s">
        <v>3</v>
      </c>
      <c r="J77" s="5" t="s">
        <v>68</v>
      </c>
      <c r="K77" s="5" t="s">
        <v>27</v>
      </c>
      <c r="L77" s="7">
        <v>49.9</v>
      </c>
      <c r="M77" s="6">
        <v>41613</v>
      </c>
      <c r="N77" s="6">
        <v>42173</v>
      </c>
      <c r="O77" s="8">
        <v>49.9</v>
      </c>
      <c r="P77" s="8">
        <f>L77-O77</f>
        <v>0</v>
      </c>
      <c r="Q77" s="8" t="str">
        <f>IF(P77=0,"Pago","Não Pago")</f>
        <v>Pago</v>
      </c>
      <c r="R77" s="5" t="s">
        <v>8</v>
      </c>
      <c r="S77" s="5" t="s">
        <v>78</v>
      </c>
    </row>
    <row r="78" spans="1:19" x14ac:dyDescent="0.2">
      <c r="A78" s="5" t="s">
        <v>0</v>
      </c>
      <c r="B78" s="5">
        <v>355605</v>
      </c>
      <c r="C78" s="6">
        <v>41598</v>
      </c>
      <c r="D78" s="6">
        <v>41598</v>
      </c>
      <c r="E78" s="5" t="s">
        <v>65</v>
      </c>
      <c r="F78" s="5">
        <v>161138</v>
      </c>
      <c r="G78" s="5" t="s">
        <v>66</v>
      </c>
      <c r="H78" s="5" t="s">
        <v>67</v>
      </c>
      <c r="I78" s="5" t="s">
        <v>3</v>
      </c>
      <c r="J78" s="5" t="s">
        <v>68</v>
      </c>
      <c r="K78" s="5" t="s">
        <v>27</v>
      </c>
      <c r="L78" s="7">
        <v>450000</v>
      </c>
      <c r="M78" s="6">
        <v>41633</v>
      </c>
      <c r="N78" s="6">
        <v>41737</v>
      </c>
      <c r="O78" s="8">
        <v>450000</v>
      </c>
      <c r="P78" s="8">
        <f>L78-O78</f>
        <v>0</v>
      </c>
      <c r="Q78" s="8" t="str">
        <f>IF(P78=0,"Pago","Não Pago")</f>
        <v>Pago</v>
      </c>
      <c r="R78" s="5" t="s">
        <v>8</v>
      </c>
    </row>
    <row r="79" spans="1:19" x14ac:dyDescent="0.2">
      <c r="A79" s="5" t="s">
        <v>0</v>
      </c>
      <c r="B79" s="5">
        <v>359605</v>
      </c>
      <c r="C79" s="6">
        <v>41624</v>
      </c>
      <c r="D79" s="6">
        <v>41624</v>
      </c>
      <c r="E79" s="5" t="s">
        <v>65</v>
      </c>
      <c r="F79" s="5">
        <v>161622</v>
      </c>
      <c r="G79" s="5" t="s">
        <v>76</v>
      </c>
      <c r="H79" s="5" t="s">
        <v>67</v>
      </c>
      <c r="I79" s="5" t="s">
        <v>3</v>
      </c>
      <c r="J79" s="5" t="s">
        <v>68</v>
      </c>
      <c r="K79" s="5" t="s">
        <v>27</v>
      </c>
      <c r="L79" s="7">
        <v>49.9</v>
      </c>
      <c r="M79" s="6">
        <v>41644</v>
      </c>
      <c r="N79" s="6">
        <v>42173</v>
      </c>
      <c r="O79" s="8">
        <v>49.9</v>
      </c>
      <c r="P79" s="8">
        <f>L79-O79</f>
        <v>0</v>
      </c>
      <c r="Q79" s="8" t="str">
        <f>IF(P79=0,"Pago","Não Pago")</f>
        <v>Pago</v>
      </c>
      <c r="R79" s="5" t="s">
        <v>8</v>
      </c>
      <c r="S79" s="5" t="s">
        <v>78</v>
      </c>
    </row>
    <row r="80" spans="1:19" x14ac:dyDescent="0.2">
      <c r="A80" s="5" t="s">
        <v>0</v>
      </c>
      <c r="B80" s="5">
        <v>361050</v>
      </c>
      <c r="C80" s="6">
        <v>41624</v>
      </c>
      <c r="D80" s="6">
        <v>41624</v>
      </c>
      <c r="E80" s="5" t="s">
        <v>65</v>
      </c>
      <c r="F80" s="5">
        <v>163066</v>
      </c>
      <c r="G80" s="5" t="s">
        <v>66</v>
      </c>
      <c r="H80" s="5" t="s">
        <v>67</v>
      </c>
      <c r="I80" s="5" t="s">
        <v>3</v>
      </c>
      <c r="J80" s="5" t="s">
        <v>68</v>
      </c>
      <c r="K80" s="5" t="s">
        <v>27</v>
      </c>
      <c r="L80" s="7">
        <v>550000</v>
      </c>
      <c r="M80" s="6">
        <v>41664</v>
      </c>
      <c r="N80" s="6">
        <v>41779</v>
      </c>
      <c r="O80" s="8">
        <v>550000</v>
      </c>
      <c r="P80" s="8">
        <f>L80-O80</f>
        <v>0</v>
      </c>
      <c r="Q80" s="8" t="str">
        <f>IF(P80=0,"Pago","Não Pago")</f>
        <v>Pago</v>
      </c>
      <c r="R80" s="5" t="s">
        <v>8</v>
      </c>
    </row>
    <row r="81" spans="1:19" x14ac:dyDescent="0.2">
      <c r="A81" s="5" t="s">
        <v>0</v>
      </c>
      <c r="B81" s="5">
        <v>365755</v>
      </c>
      <c r="C81" s="6">
        <v>41656</v>
      </c>
      <c r="D81" s="6">
        <v>41656</v>
      </c>
      <c r="E81" s="5" t="s">
        <v>65</v>
      </c>
      <c r="F81" s="5">
        <v>163588</v>
      </c>
      <c r="G81" s="5" t="s">
        <v>76</v>
      </c>
      <c r="H81" s="5" t="s">
        <v>67</v>
      </c>
      <c r="I81" s="5" t="s">
        <v>3</v>
      </c>
      <c r="J81" s="5" t="s">
        <v>68</v>
      </c>
      <c r="K81" s="5" t="s">
        <v>27</v>
      </c>
      <c r="L81" s="7">
        <v>49.9</v>
      </c>
      <c r="M81" s="6">
        <v>41675</v>
      </c>
      <c r="N81" s="6">
        <v>41688</v>
      </c>
      <c r="O81" s="8">
        <v>49.9</v>
      </c>
      <c r="P81" s="8">
        <f>L81-O81</f>
        <v>0</v>
      </c>
      <c r="Q81" s="8" t="str">
        <f>IF(P81=0,"Pago","Não Pago")</f>
        <v>Pago</v>
      </c>
      <c r="R81" s="5" t="s">
        <v>69</v>
      </c>
      <c r="S81" s="5" t="s">
        <v>78</v>
      </c>
    </row>
    <row r="82" spans="1:19" x14ac:dyDescent="0.2">
      <c r="A82" s="5" t="s">
        <v>0</v>
      </c>
      <c r="B82" s="5">
        <v>367158</v>
      </c>
      <c r="C82" s="6">
        <v>41656</v>
      </c>
      <c r="D82" s="6">
        <v>41656</v>
      </c>
      <c r="E82" s="5" t="s">
        <v>65</v>
      </c>
      <c r="F82" s="5">
        <v>164990</v>
      </c>
      <c r="G82" s="5" t="s">
        <v>66</v>
      </c>
      <c r="H82" s="5" t="s">
        <v>67</v>
      </c>
      <c r="I82" s="5" t="s">
        <v>3</v>
      </c>
      <c r="J82" s="5" t="s">
        <v>68</v>
      </c>
      <c r="K82" s="5" t="s">
        <v>27</v>
      </c>
      <c r="L82" s="7">
        <v>350000</v>
      </c>
      <c r="M82" s="6">
        <v>41695</v>
      </c>
      <c r="N82" s="6">
        <v>41808</v>
      </c>
      <c r="O82" s="8">
        <v>350000</v>
      </c>
      <c r="P82" s="8">
        <f>L82-O82</f>
        <v>0</v>
      </c>
      <c r="Q82" s="8" t="str">
        <f>IF(P82=0,"Pago","Não Pago")</f>
        <v>Pago</v>
      </c>
      <c r="R82" s="5" t="s">
        <v>8</v>
      </c>
    </row>
    <row r="83" spans="1:19" x14ac:dyDescent="0.2">
      <c r="A83" s="5" t="s">
        <v>0</v>
      </c>
      <c r="B83" s="5">
        <v>370810</v>
      </c>
      <c r="C83" s="6">
        <v>41686</v>
      </c>
      <c r="D83" s="6">
        <v>41686</v>
      </c>
      <c r="E83" s="5" t="s">
        <v>65</v>
      </c>
      <c r="F83" s="5">
        <v>165539</v>
      </c>
      <c r="G83" s="5" t="s">
        <v>76</v>
      </c>
      <c r="H83" s="5" t="s">
        <v>67</v>
      </c>
      <c r="I83" s="5" t="s">
        <v>3</v>
      </c>
      <c r="J83" s="5" t="s">
        <v>68</v>
      </c>
      <c r="K83" s="5" t="s">
        <v>27</v>
      </c>
      <c r="L83" s="7">
        <v>49.9</v>
      </c>
      <c r="M83" s="6">
        <v>41703</v>
      </c>
      <c r="N83" s="6">
        <v>41719</v>
      </c>
      <c r="O83" s="8">
        <v>49.9</v>
      </c>
      <c r="P83" s="8">
        <f>L83-O83</f>
        <v>0</v>
      </c>
      <c r="Q83" s="8" t="str">
        <f>IF(P83=0,"Pago","Não Pago")</f>
        <v>Pago</v>
      </c>
      <c r="R83" s="5" t="s">
        <v>69</v>
      </c>
      <c r="S83" s="5" t="s">
        <v>78</v>
      </c>
    </row>
    <row r="84" spans="1:19" x14ac:dyDescent="0.2">
      <c r="A84" s="5" t="s">
        <v>0</v>
      </c>
      <c r="B84" s="5">
        <v>372121</v>
      </c>
      <c r="C84" s="6">
        <v>41686</v>
      </c>
      <c r="D84" s="6">
        <v>41686</v>
      </c>
      <c r="E84" s="5" t="s">
        <v>65</v>
      </c>
      <c r="F84" s="5">
        <v>166849</v>
      </c>
      <c r="G84" s="5" t="s">
        <v>66</v>
      </c>
      <c r="H84" s="5" t="s">
        <v>67</v>
      </c>
      <c r="I84" s="5" t="s">
        <v>3</v>
      </c>
      <c r="J84" s="5" t="s">
        <v>68</v>
      </c>
      <c r="K84" s="5" t="s">
        <v>27</v>
      </c>
      <c r="L84" s="7">
        <v>400000</v>
      </c>
      <c r="M84" s="6">
        <v>41723</v>
      </c>
      <c r="N84" s="6">
        <v>41830</v>
      </c>
      <c r="O84" s="8">
        <v>400000</v>
      </c>
      <c r="P84" s="8">
        <f>L84-O84</f>
        <v>0</v>
      </c>
      <c r="Q84" s="8" t="str">
        <f>IF(P84=0,"Pago","Não Pago")</f>
        <v>Pago</v>
      </c>
      <c r="R84" s="5" t="s">
        <v>8</v>
      </c>
    </row>
    <row r="85" spans="1:19" x14ac:dyDescent="0.2">
      <c r="A85" s="5" t="s">
        <v>0</v>
      </c>
      <c r="B85" s="5">
        <v>375608</v>
      </c>
      <c r="C85" s="6">
        <v>41715</v>
      </c>
      <c r="D85" s="6">
        <v>41715</v>
      </c>
      <c r="E85" s="5" t="s">
        <v>65</v>
      </c>
      <c r="F85" s="5">
        <v>167220</v>
      </c>
      <c r="G85" s="5" t="s">
        <v>76</v>
      </c>
      <c r="H85" s="5" t="s">
        <v>67</v>
      </c>
      <c r="I85" s="5" t="s">
        <v>3</v>
      </c>
      <c r="J85" s="5" t="s">
        <v>68</v>
      </c>
      <c r="K85" s="5" t="s">
        <v>27</v>
      </c>
      <c r="L85" s="7">
        <v>49.9</v>
      </c>
      <c r="M85" s="6">
        <v>41734</v>
      </c>
      <c r="N85" s="6">
        <v>41745</v>
      </c>
      <c r="O85" s="8">
        <v>49.9</v>
      </c>
      <c r="P85" s="8">
        <f>L85-O85</f>
        <v>0</v>
      </c>
      <c r="Q85" s="8" t="str">
        <f>IF(P85=0,"Pago","Não Pago")</f>
        <v>Pago</v>
      </c>
      <c r="R85" s="5" t="s">
        <v>69</v>
      </c>
      <c r="S85" s="5" t="s">
        <v>78</v>
      </c>
    </row>
    <row r="86" spans="1:19" x14ac:dyDescent="0.2">
      <c r="A86" s="5" t="s">
        <v>0</v>
      </c>
      <c r="B86" s="5">
        <v>376863</v>
      </c>
      <c r="C86" s="6">
        <v>41715</v>
      </c>
      <c r="D86" s="6">
        <v>41715</v>
      </c>
      <c r="E86" s="5" t="s">
        <v>65</v>
      </c>
      <c r="F86" s="5">
        <v>168473</v>
      </c>
      <c r="G86" s="5" t="s">
        <v>66</v>
      </c>
      <c r="H86" s="5" t="s">
        <v>67</v>
      </c>
      <c r="I86" s="5" t="s">
        <v>3</v>
      </c>
      <c r="J86" s="5" t="s">
        <v>68</v>
      </c>
      <c r="K86" s="5" t="s">
        <v>27</v>
      </c>
      <c r="L86" s="7">
        <v>200000</v>
      </c>
      <c r="M86" s="6">
        <v>41754</v>
      </c>
      <c r="N86" s="6">
        <v>41869</v>
      </c>
      <c r="O86" s="8">
        <v>200000</v>
      </c>
      <c r="P86" s="8">
        <f>L86-O86</f>
        <v>0</v>
      </c>
      <c r="Q86" s="8" t="str">
        <f>IF(P86=0,"Pago","Não Pago")</f>
        <v>Pago</v>
      </c>
      <c r="R86" s="5" t="s">
        <v>8</v>
      </c>
    </row>
    <row r="87" spans="1:19" x14ac:dyDescent="0.2">
      <c r="A87" s="5" t="s">
        <v>0</v>
      </c>
      <c r="B87" s="5">
        <v>380334</v>
      </c>
      <c r="C87" s="6">
        <v>41744</v>
      </c>
      <c r="D87" s="6">
        <v>41744</v>
      </c>
      <c r="E87" s="5" t="s">
        <v>65</v>
      </c>
      <c r="F87" s="5">
        <v>168800</v>
      </c>
      <c r="G87" s="5" t="s">
        <v>76</v>
      </c>
      <c r="H87" s="5" t="s">
        <v>67</v>
      </c>
      <c r="I87" s="5" t="s">
        <v>3</v>
      </c>
      <c r="J87" s="5" t="s">
        <v>68</v>
      </c>
      <c r="K87" s="5" t="s">
        <v>27</v>
      </c>
      <c r="L87" s="7">
        <v>49.9</v>
      </c>
      <c r="M87" s="6">
        <v>41764</v>
      </c>
      <c r="N87" s="6">
        <v>41792</v>
      </c>
      <c r="O87" s="8">
        <v>49.9</v>
      </c>
      <c r="P87" s="8">
        <f>L87-O87</f>
        <v>0</v>
      </c>
      <c r="Q87" s="8" t="str">
        <f>IF(P87=0,"Pago","Não Pago")</f>
        <v>Pago</v>
      </c>
      <c r="R87" s="5" t="s">
        <v>69</v>
      </c>
      <c r="S87" s="5" t="s">
        <v>78</v>
      </c>
    </row>
    <row r="88" spans="1:19" x14ac:dyDescent="0.2">
      <c r="A88" s="5" t="s">
        <v>0</v>
      </c>
      <c r="B88" s="5">
        <v>626781</v>
      </c>
      <c r="C88" s="6">
        <v>42887</v>
      </c>
      <c r="D88" s="6">
        <v>42887</v>
      </c>
      <c r="E88" s="5" t="s">
        <v>65</v>
      </c>
      <c r="G88" s="5" t="s">
        <v>82</v>
      </c>
      <c r="H88" s="5" t="s">
        <v>67</v>
      </c>
      <c r="I88" s="5" t="s">
        <v>3</v>
      </c>
      <c r="J88" s="5" t="s">
        <v>68</v>
      </c>
      <c r="K88" s="5" t="s">
        <v>27</v>
      </c>
      <c r="L88" s="7">
        <v>366480</v>
      </c>
      <c r="M88" s="6">
        <v>42892</v>
      </c>
      <c r="N88" s="6">
        <v>43479</v>
      </c>
      <c r="O88" s="8">
        <v>94580.01</v>
      </c>
      <c r="P88" s="8">
        <f>L88-O88</f>
        <v>271899.99</v>
      </c>
      <c r="Q88" s="8" t="str">
        <f>IF(P88=0,"Pago","Não Pago")</f>
        <v>Não Pago</v>
      </c>
      <c r="R88" s="5" t="s">
        <v>8</v>
      </c>
    </row>
    <row r="89" spans="1:19" x14ac:dyDescent="0.2">
      <c r="A89" s="5" t="s">
        <v>0</v>
      </c>
      <c r="B89" s="5">
        <v>270329</v>
      </c>
      <c r="C89" s="6">
        <v>41109</v>
      </c>
      <c r="D89" s="6">
        <v>41109</v>
      </c>
      <c r="E89" s="5" t="s">
        <v>65</v>
      </c>
      <c r="F89" s="5">
        <v>124898</v>
      </c>
      <c r="G89" s="5" t="s">
        <v>66</v>
      </c>
      <c r="H89" s="5" t="s">
        <v>67</v>
      </c>
      <c r="I89" s="5" t="s">
        <v>3</v>
      </c>
      <c r="J89" s="5" t="s">
        <v>68</v>
      </c>
      <c r="K89" s="5" t="s">
        <v>27</v>
      </c>
      <c r="L89" s="7">
        <v>100000</v>
      </c>
      <c r="M89" s="6">
        <v>41146</v>
      </c>
      <c r="N89" s="6">
        <v>41207</v>
      </c>
      <c r="O89" s="8">
        <v>90000</v>
      </c>
      <c r="P89" s="8">
        <f>L89-O89</f>
        <v>10000</v>
      </c>
      <c r="Q89" s="8" t="str">
        <f>IF(P89=0,"Pago","Não Pago")</f>
        <v>Não Pago</v>
      </c>
      <c r="R89" s="5" t="s">
        <v>69</v>
      </c>
    </row>
    <row r="90" spans="1:19" x14ac:dyDescent="0.2">
      <c r="A90" s="5" t="s">
        <v>0</v>
      </c>
      <c r="B90" s="5">
        <v>280683</v>
      </c>
      <c r="C90" s="6">
        <v>41169</v>
      </c>
      <c r="D90" s="6">
        <v>41169</v>
      </c>
      <c r="E90" s="5" t="s">
        <v>65</v>
      </c>
      <c r="F90" s="5">
        <v>130089</v>
      </c>
      <c r="G90" s="5" t="s">
        <v>66</v>
      </c>
      <c r="H90" s="5" t="s">
        <v>67</v>
      </c>
      <c r="I90" s="5" t="s">
        <v>3</v>
      </c>
      <c r="J90" s="5" t="s">
        <v>68</v>
      </c>
      <c r="K90" s="5" t="s">
        <v>27</v>
      </c>
      <c r="L90" s="7">
        <v>100000</v>
      </c>
      <c r="M90" s="6">
        <v>41207</v>
      </c>
      <c r="N90" s="6">
        <v>41241</v>
      </c>
      <c r="O90" s="8">
        <v>90000</v>
      </c>
      <c r="P90" s="8">
        <f>L90-O90</f>
        <v>10000</v>
      </c>
      <c r="Q90" s="8" t="str">
        <f>IF(P90=0,"Pago","Não Pago")</f>
        <v>Não Pago</v>
      </c>
      <c r="R90" s="5" t="s">
        <v>71</v>
      </c>
    </row>
    <row r="91" spans="1:19" x14ac:dyDescent="0.2">
      <c r="A91" s="5" t="s">
        <v>0</v>
      </c>
      <c r="B91" s="5">
        <v>381568</v>
      </c>
      <c r="C91" s="6">
        <v>41744</v>
      </c>
      <c r="D91" s="6">
        <v>41744</v>
      </c>
      <c r="E91" s="5" t="s">
        <v>65</v>
      </c>
      <c r="F91" s="5">
        <v>170032</v>
      </c>
      <c r="G91" s="5" t="s">
        <v>66</v>
      </c>
      <c r="H91" s="5" t="s">
        <v>67</v>
      </c>
      <c r="I91" s="5" t="s">
        <v>3</v>
      </c>
      <c r="J91" s="5" t="s">
        <v>68</v>
      </c>
      <c r="K91" s="5" t="s">
        <v>27</v>
      </c>
      <c r="L91" s="7">
        <v>300000</v>
      </c>
      <c r="M91" s="6">
        <v>41784</v>
      </c>
      <c r="N91" s="6">
        <v>41899</v>
      </c>
      <c r="O91" s="8">
        <v>300000</v>
      </c>
      <c r="P91" s="8">
        <f>L91-O91</f>
        <v>0</v>
      </c>
      <c r="Q91" s="8" t="str">
        <f>IF(P91=0,"Pago","Não Pago")</f>
        <v>Pago</v>
      </c>
      <c r="R91" s="5" t="s">
        <v>70</v>
      </c>
    </row>
    <row r="92" spans="1:19" x14ac:dyDescent="0.2">
      <c r="A92" s="5" t="s">
        <v>0</v>
      </c>
      <c r="B92" s="5">
        <v>385222</v>
      </c>
      <c r="C92" s="6">
        <v>41773</v>
      </c>
      <c r="D92" s="6">
        <v>41773</v>
      </c>
      <c r="E92" s="5" t="s">
        <v>65</v>
      </c>
      <c r="F92" s="5">
        <v>170462</v>
      </c>
      <c r="G92" s="5" t="s">
        <v>76</v>
      </c>
      <c r="H92" s="5" t="s">
        <v>67</v>
      </c>
      <c r="I92" s="5" t="s">
        <v>3</v>
      </c>
      <c r="J92" s="5" t="s">
        <v>68</v>
      </c>
      <c r="K92" s="5" t="s">
        <v>27</v>
      </c>
      <c r="L92" s="7">
        <v>49.9</v>
      </c>
      <c r="M92" s="6">
        <v>41795</v>
      </c>
      <c r="N92" s="6">
        <v>42173</v>
      </c>
      <c r="O92" s="8">
        <v>49.9</v>
      </c>
      <c r="P92" s="8">
        <f>L92-O92</f>
        <v>0</v>
      </c>
      <c r="Q92" s="8" t="str">
        <f>IF(P92=0,"Pago","Não Pago")</f>
        <v>Pago</v>
      </c>
      <c r="R92" s="5" t="s">
        <v>8</v>
      </c>
      <c r="S92" s="5" t="s">
        <v>78</v>
      </c>
    </row>
    <row r="93" spans="1:19" x14ac:dyDescent="0.2">
      <c r="A93" s="5" t="s">
        <v>0</v>
      </c>
      <c r="B93" s="5">
        <v>386459</v>
      </c>
      <c r="C93" s="6">
        <v>41773</v>
      </c>
      <c r="D93" s="6">
        <v>41773</v>
      </c>
      <c r="E93" s="5" t="s">
        <v>65</v>
      </c>
      <c r="F93" s="5">
        <v>171696</v>
      </c>
      <c r="G93" s="5" t="s">
        <v>66</v>
      </c>
      <c r="H93" s="5" t="s">
        <v>67</v>
      </c>
      <c r="I93" s="5" t="s">
        <v>3</v>
      </c>
      <c r="J93" s="5" t="s">
        <v>68</v>
      </c>
      <c r="K93" s="5" t="s">
        <v>27</v>
      </c>
      <c r="L93" s="7">
        <v>300000</v>
      </c>
      <c r="M93" s="6">
        <v>41815</v>
      </c>
      <c r="N93" s="6">
        <v>41927</v>
      </c>
      <c r="O93" s="8">
        <v>300000</v>
      </c>
      <c r="P93" s="8">
        <f>L93-O93</f>
        <v>0</v>
      </c>
      <c r="Q93" s="8" t="str">
        <f>IF(P93=0,"Pago","Não Pago")</f>
        <v>Pago</v>
      </c>
      <c r="R93" s="5" t="s">
        <v>8</v>
      </c>
    </row>
    <row r="94" spans="1:19" x14ac:dyDescent="0.2">
      <c r="A94" s="5" t="s">
        <v>0</v>
      </c>
      <c r="B94" s="5">
        <v>291191</v>
      </c>
      <c r="C94" s="6">
        <v>41233</v>
      </c>
      <c r="D94" s="6">
        <v>41233</v>
      </c>
      <c r="E94" s="5" t="s">
        <v>65</v>
      </c>
      <c r="F94" s="5">
        <v>134832</v>
      </c>
      <c r="G94" s="5" t="s">
        <v>66</v>
      </c>
      <c r="H94" s="5" t="s">
        <v>67</v>
      </c>
      <c r="I94" s="5" t="s">
        <v>3</v>
      </c>
      <c r="J94" s="5" t="s">
        <v>68</v>
      </c>
      <c r="K94" s="5" t="s">
        <v>27</v>
      </c>
      <c r="L94" s="7">
        <v>200000</v>
      </c>
      <c r="M94" s="6">
        <v>41268</v>
      </c>
      <c r="N94" s="6">
        <v>41327</v>
      </c>
      <c r="O94" s="8">
        <v>66400</v>
      </c>
      <c r="P94" s="8">
        <f>L94-O94</f>
        <v>133600</v>
      </c>
      <c r="Q94" s="8" t="str">
        <f>IF(P94=0,"Pago","Não Pago")</f>
        <v>Não Pago</v>
      </c>
      <c r="R94" s="5" t="s">
        <v>8</v>
      </c>
    </row>
    <row r="95" spans="1:19" x14ac:dyDescent="0.2">
      <c r="A95" s="5" t="s">
        <v>0</v>
      </c>
      <c r="B95" s="5">
        <v>390291</v>
      </c>
      <c r="C95" s="6">
        <v>41806</v>
      </c>
      <c r="D95" s="6">
        <v>41806</v>
      </c>
      <c r="E95" s="5" t="s">
        <v>65</v>
      </c>
      <c r="F95" s="5">
        <v>172136</v>
      </c>
      <c r="G95" s="5" t="s">
        <v>76</v>
      </c>
      <c r="H95" s="5" t="s">
        <v>67</v>
      </c>
      <c r="I95" s="5" t="s">
        <v>3</v>
      </c>
      <c r="J95" s="5" t="s">
        <v>68</v>
      </c>
      <c r="K95" s="5" t="s">
        <v>27</v>
      </c>
      <c r="L95" s="7">
        <v>49.9</v>
      </c>
      <c r="M95" s="6">
        <v>41825</v>
      </c>
      <c r="N95" s="6">
        <v>42173</v>
      </c>
      <c r="O95" s="8">
        <v>49.9</v>
      </c>
      <c r="P95" s="8">
        <f>L95-O95</f>
        <v>0</v>
      </c>
      <c r="Q95" s="8" t="str">
        <f>IF(P95=0,"Pago","Não Pago")</f>
        <v>Pago</v>
      </c>
      <c r="R95" s="5" t="s">
        <v>8</v>
      </c>
      <c r="S95" s="5" t="s">
        <v>78</v>
      </c>
    </row>
    <row r="96" spans="1:19" x14ac:dyDescent="0.2">
      <c r="A96" s="5" t="s">
        <v>0</v>
      </c>
      <c r="B96" s="5">
        <v>391485</v>
      </c>
      <c r="C96" s="6">
        <v>41806</v>
      </c>
      <c r="D96" s="6">
        <v>41806</v>
      </c>
      <c r="E96" s="5" t="s">
        <v>65</v>
      </c>
      <c r="F96" s="5">
        <v>173320</v>
      </c>
      <c r="G96" s="5" t="s">
        <v>66</v>
      </c>
      <c r="H96" s="5" t="s">
        <v>67</v>
      </c>
      <c r="I96" s="5" t="s">
        <v>3</v>
      </c>
      <c r="J96" s="5" t="s">
        <v>68</v>
      </c>
      <c r="K96" s="5" t="s">
        <v>27</v>
      </c>
      <c r="L96" s="7">
        <v>250000</v>
      </c>
      <c r="M96" s="6">
        <v>41845</v>
      </c>
      <c r="N96" s="6">
        <v>41955</v>
      </c>
      <c r="O96" s="8">
        <v>250000</v>
      </c>
      <c r="P96" s="8">
        <f>L96-O96</f>
        <v>0</v>
      </c>
      <c r="Q96" s="8" t="str">
        <f>IF(P96=0,"Pago","Não Pago")</f>
        <v>Pago</v>
      </c>
      <c r="R96" s="5" t="s">
        <v>8</v>
      </c>
    </row>
    <row r="97" spans="1:19" x14ac:dyDescent="0.2">
      <c r="A97" s="5" t="s">
        <v>0</v>
      </c>
      <c r="B97" s="5">
        <v>395277</v>
      </c>
      <c r="C97" s="6">
        <v>41841</v>
      </c>
      <c r="D97" s="6">
        <v>41841</v>
      </c>
      <c r="E97" s="5" t="s">
        <v>65</v>
      </c>
      <c r="F97" s="5">
        <v>173700</v>
      </c>
      <c r="G97" s="5" t="s">
        <v>76</v>
      </c>
      <c r="H97" s="5" t="s">
        <v>67</v>
      </c>
      <c r="I97" s="5" t="s">
        <v>3</v>
      </c>
      <c r="J97" s="5" t="s">
        <v>68</v>
      </c>
      <c r="K97" s="5" t="s">
        <v>27</v>
      </c>
      <c r="L97" s="7">
        <v>49.9</v>
      </c>
      <c r="M97" s="6">
        <v>41856</v>
      </c>
      <c r="N97" s="6">
        <v>42173</v>
      </c>
      <c r="O97" s="8">
        <v>49.9</v>
      </c>
      <c r="P97" s="8">
        <f>L97-O97</f>
        <v>0</v>
      </c>
      <c r="Q97" s="8" t="str">
        <f>IF(P97=0,"Pago","Não Pago")</f>
        <v>Pago</v>
      </c>
      <c r="R97" s="5" t="s">
        <v>8</v>
      </c>
      <c r="S97" s="5" t="s">
        <v>78</v>
      </c>
    </row>
    <row r="98" spans="1:19" x14ac:dyDescent="0.2">
      <c r="A98" s="5" t="s">
        <v>0</v>
      </c>
      <c r="B98" s="5">
        <v>396477</v>
      </c>
      <c r="C98" s="6">
        <v>41841</v>
      </c>
      <c r="D98" s="6">
        <v>41841</v>
      </c>
      <c r="E98" s="5" t="s">
        <v>65</v>
      </c>
      <c r="F98" s="5">
        <v>174896</v>
      </c>
      <c r="G98" s="5" t="s">
        <v>66</v>
      </c>
      <c r="H98" s="5" t="s">
        <v>67</v>
      </c>
      <c r="I98" s="5" t="s">
        <v>3</v>
      </c>
      <c r="J98" s="5" t="s">
        <v>68</v>
      </c>
      <c r="K98" s="5" t="s">
        <v>27</v>
      </c>
      <c r="L98" s="7">
        <v>300000</v>
      </c>
      <c r="M98" s="6">
        <v>41876</v>
      </c>
      <c r="N98" s="6">
        <v>42055</v>
      </c>
      <c r="O98" s="8">
        <v>300000</v>
      </c>
      <c r="P98" s="8">
        <f>L98-O98</f>
        <v>0</v>
      </c>
      <c r="Q98" s="8" t="str">
        <f>IF(P98=0,"Pago","Não Pago")</f>
        <v>Pago</v>
      </c>
      <c r="R98" s="5" t="s">
        <v>8</v>
      </c>
    </row>
    <row r="99" spans="1:19" x14ac:dyDescent="0.2">
      <c r="A99" s="5" t="s">
        <v>0</v>
      </c>
      <c r="B99" s="5">
        <v>400244</v>
      </c>
      <c r="C99" s="6">
        <v>41869</v>
      </c>
      <c r="D99" s="6">
        <v>41869</v>
      </c>
      <c r="E99" s="5" t="s">
        <v>65</v>
      </c>
      <c r="F99" s="5">
        <v>175254</v>
      </c>
      <c r="G99" s="5" t="s">
        <v>76</v>
      </c>
      <c r="H99" s="5" t="s">
        <v>67</v>
      </c>
      <c r="I99" s="5" t="s">
        <v>3</v>
      </c>
      <c r="J99" s="5" t="s">
        <v>68</v>
      </c>
      <c r="K99" s="5" t="s">
        <v>27</v>
      </c>
      <c r="L99" s="7">
        <v>49.9</v>
      </c>
      <c r="M99" s="6">
        <v>41887</v>
      </c>
      <c r="N99" s="6">
        <v>42173</v>
      </c>
      <c r="O99" s="8">
        <v>49.9</v>
      </c>
      <c r="P99" s="8">
        <f>L99-O99</f>
        <v>0</v>
      </c>
      <c r="Q99" s="8" t="str">
        <f>IF(P99=0,"Pago","Não Pago")</f>
        <v>Pago</v>
      </c>
      <c r="R99" s="5" t="s">
        <v>8</v>
      </c>
      <c r="S99" s="5" t="s">
        <v>78</v>
      </c>
    </row>
    <row r="100" spans="1:19" x14ac:dyDescent="0.2">
      <c r="A100" s="5" t="s">
        <v>0</v>
      </c>
      <c r="B100" s="5">
        <v>401414</v>
      </c>
      <c r="C100" s="6">
        <v>41869</v>
      </c>
      <c r="D100" s="6">
        <v>41869</v>
      </c>
      <c r="E100" s="5" t="s">
        <v>65</v>
      </c>
      <c r="F100" s="5">
        <v>176413</v>
      </c>
      <c r="G100" s="5" t="s">
        <v>66</v>
      </c>
      <c r="H100" s="5" t="s">
        <v>67</v>
      </c>
      <c r="I100" s="5" t="s">
        <v>3</v>
      </c>
      <c r="J100" s="5" t="s">
        <v>68</v>
      </c>
      <c r="K100" s="5" t="s">
        <v>27</v>
      </c>
      <c r="L100" s="7">
        <v>200000</v>
      </c>
      <c r="M100" s="6">
        <v>41907</v>
      </c>
      <c r="N100" s="6">
        <v>41985</v>
      </c>
      <c r="O100" s="8">
        <v>200000</v>
      </c>
      <c r="P100" s="8">
        <f>L100-O100</f>
        <v>0</v>
      </c>
      <c r="Q100" s="8" t="str">
        <f>IF(P100=0,"Pago","Não Pago")</f>
        <v>Pago</v>
      </c>
      <c r="R100" s="5" t="s">
        <v>8</v>
      </c>
    </row>
    <row r="101" spans="1:19" x14ac:dyDescent="0.2">
      <c r="A101" s="5" t="s">
        <v>0</v>
      </c>
      <c r="B101" s="5">
        <v>405357</v>
      </c>
      <c r="C101" s="6">
        <v>41899</v>
      </c>
      <c r="D101" s="6">
        <v>41899</v>
      </c>
      <c r="E101" s="5" t="s">
        <v>65</v>
      </c>
      <c r="F101" s="5">
        <v>176871</v>
      </c>
      <c r="G101" s="5" t="s">
        <v>76</v>
      </c>
      <c r="H101" s="5" t="s">
        <v>67</v>
      </c>
      <c r="I101" s="5" t="s">
        <v>3</v>
      </c>
      <c r="J101" s="5" t="s">
        <v>68</v>
      </c>
      <c r="K101" s="5" t="s">
        <v>27</v>
      </c>
      <c r="L101" s="7">
        <v>49.9</v>
      </c>
      <c r="M101" s="6">
        <v>41917</v>
      </c>
      <c r="N101" s="6">
        <v>42173</v>
      </c>
      <c r="O101" s="8">
        <v>49.9</v>
      </c>
      <c r="P101" s="8">
        <f>L101-O101</f>
        <v>0</v>
      </c>
      <c r="Q101" s="8" t="str">
        <f>IF(P101=0,"Pago","Não Pago")</f>
        <v>Pago</v>
      </c>
      <c r="R101" s="5" t="s">
        <v>8</v>
      </c>
      <c r="S101" s="5" t="s">
        <v>78</v>
      </c>
    </row>
    <row r="102" spans="1:19" x14ac:dyDescent="0.2">
      <c r="A102" s="5" t="s">
        <v>0</v>
      </c>
      <c r="B102" s="5">
        <v>406482</v>
      </c>
      <c r="C102" s="6">
        <v>41899</v>
      </c>
      <c r="D102" s="6">
        <v>41899</v>
      </c>
      <c r="E102" s="5" t="s">
        <v>65</v>
      </c>
      <c r="F102" s="5">
        <v>177993</v>
      </c>
      <c r="G102" s="5" t="s">
        <v>66</v>
      </c>
      <c r="H102" s="5" t="s">
        <v>67</v>
      </c>
      <c r="I102" s="5" t="s">
        <v>3</v>
      </c>
      <c r="J102" s="5" t="s">
        <v>68</v>
      </c>
      <c r="K102" s="5" t="s">
        <v>27</v>
      </c>
      <c r="L102" s="7">
        <v>300000</v>
      </c>
      <c r="M102" s="6">
        <v>41937</v>
      </c>
      <c r="N102" s="6">
        <v>42079</v>
      </c>
      <c r="O102" s="8">
        <v>300000</v>
      </c>
      <c r="P102" s="8">
        <f>L102-O102</f>
        <v>0</v>
      </c>
      <c r="Q102" s="8" t="str">
        <f>IF(P102=0,"Pago","Não Pago")</f>
        <v>Pago</v>
      </c>
      <c r="R102" s="5" t="s">
        <v>8</v>
      </c>
    </row>
    <row r="103" spans="1:19" x14ac:dyDescent="0.2">
      <c r="A103" s="5" t="s">
        <v>0</v>
      </c>
      <c r="B103" s="5">
        <v>626783</v>
      </c>
      <c r="C103" s="6">
        <v>42948</v>
      </c>
      <c r="D103" s="6">
        <v>42948</v>
      </c>
      <c r="E103" s="5" t="s">
        <v>65</v>
      </c>
      <c r="G103" s="5" t="s">
        <v>82</v>
      </c>
      <c r="H103" s="5" t="s">
        <v>67</v>
      </c>
      <c r="I103" s="5" t="s">
        <v>3</v>
      </c>
      <c r="J103" s="5" t="s">
        <v>68</v>
      </c>
      <c r="K103" s="5" t="s">
        <v>27</v>
      </c>
      <c r="L103" s="7">
        <v>93584</v>
      </c>
      <c r="M103" s="6">
        <v>42952</v>
      </c>
      <c r="N103" s="6">
        <v>43481</v>
      </c>
      <c r="O103" s="8">
        <v>43646.559999999998</v>
      </c>
      <c r="P103" s="8">
        <f>L103-O103</f>
        <v>49937.440000000002</v>
      </c>
      <c r="Q103" s="8" t="str">
        <f>IF(P103=0,"Pago","Não Pago")</f>
        <v>Não Pago</v>
      </c>
      <c r="R103" s="5" t="s">
        <v>8</v>
      </c>
    </row>
    <row r="104" spans="1:19" x14ac:dyDescent="0.2">
      <c r="A104" s="5" t="s">
        <v>0</v>
      </c>
      <c r="B104" s="5">
        <v>259007</v>
      </c>
      <c r="C104" s="6">
        <v>41050</v>
      </c>
      <c r="D104" s="6">
        <v>41050</v>
      </c>
      <c r="E104" s="5" t="s">
        <v>65</v>
      </c>
      <c r="F104" s="5">
        <v>118512</v>
      </c>
      <c r="G104" s="5" t="s">
        <v>66</v>
      </c>
      <c r="H104" s="5" t="s">
        <v>67</v>
      </c>
      <c r="I104" s="5" t="s">
        <v>3</v>
      </c>
      <c r="J104" s="5" t="s">
        <v>68</v>
      </c>
      <c r="K104" s="5" t="s">
        <v>27</v>
      </c>
      <c r="L104" s="7">
        <v>50000</v>
      </c>
      <c r="M104" s="6">
        <v>41085</v>
      </c>
      <c r="N104" s="6">
        <v>41135</v>
      </c>
      <c r="O104" s="8">
        <v>42000</v>
      </c>
      <c r="P104" s="8">
        <f>L104-O104</f>
        <v>8000</v>
      </c>
      <c r="Q104" s="8" t="str">
        <f>IF(P104=0,"Pago","Não Pago")</f>
        <v>Não Pago</v>
      </c>
      <c r="R104" s="5" t="s">
        <v>71</v>
      </c>
    </row>
    <row r="105" spans="1:19" x14ac:dyDescent="0.2">
      <c r="A105" s="5" t="s">
        <v>0</v>
      </c>
      <c r="B105" s="5">
        <v>638949</v>
      </c>
      <c r="C105" s="6">
        <v>43253</v>
      </c>
      <c r="D105" s="6">
        <v>43253</v>
      </c>
      <c r="E105" s="5" t="s">
        <v>65</v>
      </c>
      <c r="G105" s="5" t="s">
        <v>82</v>
      </c>
      <c r="H105" s="5" t="s">
        <v>67</v>
      </c>
      <c r="I105" s="5" t="s">
        <v>3</v>
      </c>
      <c r="J105" s="5" t="s">
        <v>68</v>
      </c>
      <c r="K105" s="5" t="s">
        <v>27</v>
      </c>
      <c r="L105" s="7">
        <v>193032</v>
      </c>
      <c r="M105" s="6">
        <v>43276</v>
      </c>
      <c r="N105" s="6">
        <v>43276</v>
      </c>
      <c r="O105" s="8">
        <v>36000</v>
      </c>
      <c r="P105" s="8">
        <f>L105-O105</f>
        <v>157032</v>
      </c>
      <c r="Q105" s="8" t="str">
        <f>IF(P105=0,"Pago","Não Pago")</f>
        <v>Não Pago</v>
      </c>
      <c r="R105" s="5" t="s">
        <v>8</v>
      </c>
    </row>
    <row r="106" spans="1:19" x14ac:dyDescent="0.2">
      <c r="A106" s="5" t="s">
        <v>0</v>
      </c>
      <c r="B106" s="5">
        <v>410453</v>
      </c>
      <c r="C106" s="6">
        <v>41932</v>
      </c>
      <c r="D106" s="6">
        <v>41932</v>
      </c>
      <c r="E106" s="5" t="s">
        <v>65</v>
      </c>
      <c r="F106" s="5">
        <v>178351</v>
      </c>
      <c r="G106" s="5" t="s">
        <v>76</v>
      </c>
      <c r="H106" s="5" t="s">
        <v>67</v>
      </c>
      <c r="I106" s="5" t="s">
        <v>3</v>
      </c>
      <c r="J106" s="5" t="s">
        <v>68</v>
      </c>
      <c r="K106" s="5" t="s">
        <v>27</v>
      </c>
      <c r="L106" s="7">
        <v>49.9</v>
      </c>
      <c r="M106" s="6">
        <v>41948</v>
      </c>
      <c r="N106" s="6">
        <v>42173</v>
      </c>
      <c r="O106" s="8">
        <v>49.9</v>
      </c>
      <c r="P106" s="8">
        <f>L106-O106</f>
        <v>0</v>
      </c>
      <c r="Q106" s="8" t="str">
        <f>IF(P106=0,"Pago","Não Pago")</f>
        <v>Pago</v>
      </c>
      <c r="R106" s="5" t="s">
        <v>8</v>
      </c>
      <c r="S106" s="5" t="s">
        <v>78</v>
      </c>
    </row>
    <row r="107" spans="1:19" x14ac:dyDescent="0.2">
      <c r="A107" s="5" t="s">
        <v>0</v>
      </c>
      <c r="B107" s="5">
        <v>411570</v>
      </c>
      <c r="C107" s="6">
        <v>41932</v>
      </c>
      <c r="D107" s="6">
        <v>41932</v>
      </c>
      <c r="E107" s="5" t="s">
        <v>65</v>
      </c>
      <c r="F107" s="5">
        <v>179462</v>
      </c>
      <c r="G107" s="5" t="s">
        <v>66</v>
      </c>
      <c r="H107" s="5" t="s">
        <v>67</v>
      </c>
      <c r="I107" s="5" t="s">
        <v>3</v>
      </c>
      <c r="J107" s="5" t="s">
        <v>68</v>
      </c>
      <c r="K107" s="5" t="s">
        <v>27</v>
      </c>
      <c r="L107" s="7">
        <v>350000</v>
      </c>
      <c r="M107" s="6">
        <v>41968</v>
      </c>
      <c r="N107" s="6">
        <v>42110</v>
      </c>
      <c r="O107" s="8">
        <v>350000</v>
      </c>
      <c r="P107" s="8">
        <f>L107-O107</f>
        <v>0</v>
      </c>
      <c r="Q107" s="8" t="str">
        <f>IF(P107=0,"Pago","Não Pago")</f>
        <v>Pago</v>
      </c>
      <c r="R107" s="5" t="s">
        <v>8</v>
      </c>
    </row>
    <row r="108" spans="1:19" x14ac:dyDescent="0.2">
      <c r="A108" s="5" t="s">
        <v>0</v>
      </c>
      <c r="B108" s="5">
        <v>415453</v>
      </c>
      <c r="C108" s="6">
        <v>41960</v>
      </c>
      <c r="D108" s="6">
        <v>41960</v>
      </c>
      <c r="E108" s="5" t="s">
        <v>65</v>
      </c>
      <c r="F108" s="5">
        <v>179772</v>
      </c>
      <c r="G108" s="5" t="s">
        <v>76</v>
      </c>
      <c r="H108" s="5" t="s">
        <v>67</v>
      </c>
      <c r="I108" s="5" t="s">
        <v>3</v>
      </c>
      <c r="J108" s="5" t="s">
        <v>68</v>
      </c>
      <c r="K108" s="5" t="s">
        <v>27</v>
      </c>
      <c r="L108" s="7">
        <v>49.9</v>
      </c>
      <c r="M108" s="6">
        <v>41978</v>
      </c>
      <c r="N108" s="6">
        <v>42173</v>
      </c>
      <c r="O108" s="8">
        <v>49.9</v>
      </c>
      <c r="P108" s="8">
        <f>L108-O108</f>
        <v>0</v>
      </c>
      <c r="Q108" s="8" t="str">
        <f>IF(P108=0,"Pago","Não Pago")</f>
        <v>Pago</v>
      </c>
      <c r="R108" s="5" t="s">
        <v>8</v>
      </c>
      <c r="S108" s="5" t="s">
        <v>78</v>
      </c>
    </row>
    <row r="109" spans="1:19" x14ac:dyDescent="0.2">
      <c r="A109" s="5" t="s">
        <v>0</v>
      </c>
      <c r="B109" s="5">
        <v>416562</v>
      </c>
      <c r="C109" s="6">
        <v>41960</v>
      </c>
      <c r="D109" s="6">
        <v>41960</v>
      </c>
      <c r="E109" s="5" t="s">
        <v>65</v>
      </c>
      <c r="F109" s="5">
        <v>180880</v>
      </c>
      <c r="G109" s="5" t="s">
        <v>66</v>
      </c>
      <c r="H109" s="5" t="s">
        <v>67</v>
      </c>
      <c r="I109" s="5" t="s">
        <v>3</v>
      </c>
      <c r="J109" s="5" t="s">
        <v>68</v>
      </c>
      <c r="K109" s="5" t="s">
        <v>27</v>
      </c>
      <c r="L109" s="7">
        <v>250000</v>
      </c>
      <c r="M109" s="6">
        <v>41998</v>
      </c>
      <c r="N109" s="6">
        <v>42139</v>
      </c>
      <c r="O109" s="8">
        <v>250000</v>
      </c>
      <c r="P109" s="8">
        <f>L109-O109</f>
        <v>0</v>
      </c>
      <c r="Q109" s="8" t="str">
        <f>IF(P109=0,"Pago","Não Pago")</f>
        <v>Pago</v>
      </c>
      <c r="R109" s="5" t="s">
        <v>8</v>
      </c>
    </row>
    <row r="110" spans="1:19" x14ac:dyDescent="0.2">
      <c r="A110" s="5" t="s">
        <v>0</v>
      </c>
      <c r="B110" s="5">
        <v>420511</v>
      </c>
      <c r="C110" s="6">
        <v>41982</v>
      </c>
      <c r="D110" s="6">
        <v>41982</v>
      </c>
      <c r="E110" s="5" t="s">
        <v>65</v>
      </c>
      <c r="F110" s="5">
        <v>181251</v>
      </c>
      <c r="G110" s="5" t="s">
        <v>76</v>
      </c>
      <c r="H110" s="5" t="s">
        <v>67</v>
      </c>
      <c r="I110" s="5" t="s">
        <v>3</v>
      </c>
      <c r="J110" s="5" t="s">
        <v>68</v>
      </c>
      <c r="K110" s="5" t="s">
        <v>27</v>
      </c>
      <c r="L110" s="7">
        <v>49.9</v>
      </c>
      <c r="M110" s="6">
        <v>42009</v>
      </c>
      <c r="N110" s="6">
        <v>42173</v>
      </c>
      <c r="O110" s="8">
        <v>49.9</v>
      </c>
      <c r="P110" s="8">
        <f>L110-O110</f>
        <v>0</v>
      </c>
      <c r="Q110" s="8" t="str">
        <f>IF(P110=0,"Pago","Não Pago")</f>
        <v>Pago</v>
      </c>
      <c r="R110" s="5" t="s">
        <v>8</v>
      </c>
      <c r="S110" s="5" t="s">
        <v>78</v>
      </c>
    </row>
    <row r="111" spans="1:19" x14ac:dyDescent="0.2">
      <c r="A111" s="5" t="s">
        <v>0</v>
      </c>
      <c r="B111" s="5">
        <v>421654</v>
      </c>
      <c r="C111" s="6">
        <v>41982</v>
      </c>
      <c r="D111" s="6">
        <v>41982</v>
      </c>
      <c r="E111" s="5" t="s">
        <v>65</v>
      </c>
      <c r="F111" s="5">
        <v>182392</v>
      </c>
      <c r="G111" s="5" t="s">
        <v>66</v>
      </c>
      <c r="H111" s="5" t="s">
        <v>67</v>
      </c>
      <c r="I111" s="5" t="s">
        <v>3</v>
      </c>
      <c r="J111" s="5" t="s">
        <v>68</v>
      </c>
      <c r="K111" s="5" t="s">
        <v>27</v>
      </c>
      <c r="L111" s="7">
        <v>150000</v>
      </c>
      <c r="M111" s="6">
        <v>42029</v>
      </c>
      <c r="N111" s="6">
        <v>42220</v>
      </c>
      <c r="O111" s="8">
        <v>150000</v>
      </c>
      <c r="P111" s="8">
        <f>L111-O111</f>
        <v>0</v>
      </c>
      <c r="Q111" s="8" t="str">
        <f>IF(P111=0,"Pago","Não Pago")</f>
        <v>Pago</v>
      </c>
      <c r="R111" s="5" t="s">
        <v>8</v>
      </c>
    </row>
    <row r="112" spans="1:19" x14ac:dyDescent="0.2">
      <c r="A112" s="5" t="s">
        <v>0</v>
      </c>
      <c r="B112" s="5">
        <v>425866</v>
      </c>
      <c r="C112" s="6">
        <v>42023</v>
      </c>
      <c r="D112" s="6">
        <v>42023</v>
      </c>
      <c r="E112" s="5" t="s">
        <v>65</v>
      </c>
      <c r="F112" s="5">
        <v>182781</v>
      </c>
      <c r="G112" s="5" t="s">
        <v>76</v>
      </c>
      <c r="H112" s="5" t="s">
        <v>67</v>
      </c>
      <c r="I112" s="5" t="s">
        <v>3</v>
      </c>
      <c r="J112" s="5" t="s">
        <v>68</v>
      </c>
      <c r="K112" s="5" t="s">
        <v>27</v>
      </c>
      <c r="L112" s="7">
        <v>49.9</v>
      </c>
      <c r="M112" s="6">
        <v>42040</v>
      </c>
      <c r="N112" s="6">
        <v>42173</v>
      </c>
      <c r="O112" s="8">
        <v>49.9</v>
      </c>
      <c r="P112" s="8">
        <f>L112-O112</f>
        <v>0</v>
      </c>
      <c r="Q112" s="8" t="str">
        <f>IF(P112=0,"Pago","Não Pago")</f>
        <v>Pago</v>
      </c>
      <c r="R112" s="5" t="s">
        <v>8</v>
      </c>
      <c r="S112" s="5" t="s">
        <v>78</v>
      </c>
    </row>
    <row r="113" spans="1:19" x14ac:dyDescent="0.2">
      <c r="A113" s="5" t="s">
        <v>0</v>
      </c>
      <c r="B113" s="5">
        <v>427027</v>
      </c>
      <c r="C113" s="6">
        <v>42023</v>
      </c>
      <c r="D113" s="6">
        <v>42023</v>
      </c>
      <c r="E113" s="5" t="s">
        <v>65</v>
      </c>
      <c r="F113" s="5">
        <v>183937</v>
      </c>
      <c r="G113" s="5" t="s">
        <v>66</v>
      </c>
      <c r="H113" s="5" t="s">
        <v>67</v>
      </c>
      <c r="I113" s="5" t="s">
        <v>3</v>
      </c>
      <c r="J113" s="5" t="s">
        <v>68</v>
      </c>
      <c r="K113" s="5" t="s">
        <v>27</v>
      </c>
      <c r="L113" s="7">
        <v>350000</v>
      </c>
      <c r="M113" s="6">
        <v>42060</v>
      </c>
      <c r="N113" s="6">
        <v>42579</v>
      </c>
      <c r="O113" s="8">
        <v>350000</v>
      </c>
      <c r="P113" s="8">
        <f>L113-O113</f>
        <v>0</v>
      </c>
      <c r="Q113" s="8" t="str">
        <f>IF(P113=0,"Pago","Não Pago")</f>
        <v>Pago</v>
      </c>
      <c r="R113" s="5" t="s">
        <v>8</v>
      </c>
    </row>
    <row r="114" spans="1:19" x14ac:dyDescent="0.2">
      <c r="A114" s="5" t="s">
        <v>0</v>
      </c>
      <c r="B114" s="5">
        <v>431028</v>
      </c>
      <c r="C114" s="6">
        <v>42045</v>
      </c>
      <c r="D114" s="6">
        <v>42045</v>
      </c>
      <c r="E114" s="5" t="s">
        <v>65</v>
      </c>
      <c r="F114" s="5">
        <v>184221</v>
      </c>
      <c r="G114" s="5" t="s">
        <v>76</v>
      </c>
      <c r="H114" s="5" t="s">
        <v>67</v>
      </c>
      <c r="I114" s="5" t="s">
        <v>3</v>
      </c>
      <c r="J114" s="5" t="s">
        <v>68</v>
      </c>
      <c r="K114" s="5" t="s">
        <v>27</v>
      </c>
      <c r="L114" s="7">
        <v>49.9</v>
      </c>
      <c r="M114" s="6">
        <v>42068</v>
      </c>
      <c r="N114" s="6">
        <v>42173</v>
      </c>
      <c r="O114" s="8">
        <v>49.9</v>
      </c>
      <c r="P114" s="8">
        <f>L114-O114</f>
        <v>0</v>
      </c>
      <c r="Q114" s="8" t="str">
        <f>IF(P114=0,"Pago","Não Pago")</f>
        <v>Pago</v>
      </c>
      <c r="R114" s="5" t="s">
        <v>8</v>
      </c>
      <c r="S114" s="5" t="s">
        <v>78</v>
      </c>
    </row>
    <row r="115" spans="1:19" x14ac:dyDescent="0.2">
      <c r="A115" s="5" t="s">
        <v>0</v>
      </c>
      <c r="B115" s="5">
        <v>432195</v>
      </c>
      <c r="C115" s="6">
        <v>42045</v>
      </c>
      <c r="D115" s="6">
        <v>42045</v>
      </c>
      <c r="E115" s="5" t="s">
        <v>65</v>
      </c>
      <c r="F115" s="5">
        <v>185383</v>
      </c>
      <c r="G115" s="5" t="s">
        <v>66</v>
      </c>
      <c r="H115" s="5" t="s">
        <v>67</v>
      </c>
      <c r="I115" s="5" t="s">
        <v>3</v>
      </c>
      <c r="J115" s="5" t="s">
        <v>68</v>
      </c>
      <c r="K115" s="5" t="s">
        <v>27</v>
      </c>
      <c r="L115" s="7">
        <v>550000</v>
      </c>
      <c r="M115" s="6">
        <v>42088</v>
      </c>
      <c r="N115" s="6">
        <v>42156</v>
      </c>
      <c r="O115" s="8">
        <v>550000</v>
      </c>
      <c r="P115" s="8">
        <f>L115-O115</f>
        <v>0</v>
      </c>
      <c r="Q115" s="8" t="str">
        <f>IF(P115=0,"Pago","Não Pago")</f>
        <v>Pago</v>
      </c>
      <c r="R115" s="5" t="s">
        <v>8</v>
      </c>
    </row>
    <row r="116" spans="1:19" x14ac:dyDescent="0.2">
      <c r="A116" s="5" t="s">
        <v>0</v>
      </c>
      <c r="B116" s="5">
        <v>436651</v>
      </c>
      <c r="C116" s="6">
        <v>42080</v>
      </c>
      <c r="D116" s="6">
        <v>42080</v>
      </c>
      <c r="E116" s="5" t="s">
        <v>65</v>
      </c>
      <c r="F116" s="5">
        <v>185849</v>
      </c>
      <c r="G116" s="5" t="s">
        <v>76</v>
      </c>
      <c r="H116" s="5" t="s">
        <v>67</v>
      </c>
      <c r="I116" s="5" t="s">
        <v>3</v>
      </c>
      <c r="J116" s="5" t="s">
        <v>68</v>
      </c>
      <c r="K116" s="5" t="s">
        <v>27</v>
      </c>
      <c r="L116" s="7">
        <v>49.9</v>
      </c>
      <c r="M116" s="6">
        <v>42099</v>
      </c>
      <c r="N116" s="6">
        <v>42173</v>
      </c>
      <c r="O116" s="8">
        <v>49.9</v>
      </c>
      <c r="P116" s="8">
        <f>L116-O116</f>
        <v>0</v>
      </c>
      <c r="Q116" s="8" t="str">
        <f>IF(P116=0,"Pago","Não Pago")</f>
        <v>Pago</v>
      </c>
      <c r="R116" s="5" t="s">
        <v>8</v>
      </c>
      <c r="S116" s="5" t="s">
        <v>78</v>
      </c>
    </row>
    <row r="117" spans="1:19" x14ac:dyDescent="0.2">
      <c r="A117" s="5" t="s">
        <v>0</v>
      </c>
      <c r="B117" s="5">
        <v>437809</v>
      </c>
      <c r="C117" s="6">
        <v>42080</v>
      </c>
      <c r="D117" s="6">
        <v>42080</v>
      </c>
      <c r="E117" s="5" t="s">
        <v>65</v>
      </c>
      <c r="F117" s="5">
        <v>187001</v>
      </c>
      <c r="G117" s="5" t="s">
        <v>66</v>
      </c>
      <c r="H117" s="5" t="s">
        <v>67</v>
      </c>
      <c r="I117" s="5" t="s">
        <v>3</v>
      </c>
      <c r="J117" s="5" t="s">
        <v>68</v>
      </c>
      <c r="K117" s="5" t="s">
        <v>27</v>
      </c>
      <c r="L117" s="7">
        <v>450000</v>
      </c>
      <c r="M117" s="6">
        <v>42119</v>
      </c>
      <c r="N117" s="6">
        <v>42191</v>
      </c>
      <c r="O117" s="8">
        <v>450000</v>
      </c>
      <c r="P117" s="8">
        <f>L117-O117</f>
        <v>0</v>
      </c>
      <c r="Q117" s="8" t="str">
        <f>IF(P117=0,"Pago","Não Pago")</f>
        <v>Pago</v>
      </c>
      <c r="R117" s="5" t="s">
        <v>8</v>
      </c>
    </row>
    <row r="118" spans="1:19" x14ac:dyDescent="0.2">
      <c r="A118" s="5" t="s">
        <v>0</v>
      </c>
      <c r="B118" s="5">
        <v>442204</v>
      </c>
      <c r="C118" s="6">
        <v>42114</v>
      </c>
      <c r="D118" s="6">
        <v>42114</v>
      </c>
      <c r="E118" s="5" t="s">
        <v>65</v>
      </c>
      <c r="F118" s="5">
        <v>187417</v>
      </c>
      <c r="G118" s="5" t="s">
        <v>76</v>
      </c>
      <c r="H118" s="5" t="s">
        <v>67</v>
      </c>
      <c r="I118" s="5" t="s">
        <v>3</v>
      </c>
      <c r="J118" s="5" t="s">
        <v>68</v>
      </c>
      <c r="K118" s="5" t="s">
        <v>27</v>
      </c>
      <c r="L118" s="7">
        <v>49.9</v>
      </c>
      <c r="M118" s="6">
        <v>42129</v>
      </c>
      <c r="N118" s="6">
        <v>42173</v>
      </c>
      <c r="O118" s="8">
        <v>49.9</v>
      </c>
      <c r="P118" s="8">
        <f>L118-O118</f>
        <v>0</v>
      </c>
      <c r="Q118" s="8" t="str">
        <f>IF(P118=0,"Pago","Não Pago")</f>
        <v>Pago</v>
      </c>
      <c r="R118" s="5" t="s">
        <v>8</v>
      </c>
      <c r="S118" s="5" t="s">
        <v>78</v>
      </c>
    </row>
    <row r="119" spans="1:19" x14ac:dyDescent="0.2">
      <c r="A119" s="5" t="s">
        <v>0</v>
      </c>
      <c r="B119" s="5">
        <v>443380</v>
      </c>
      <c r="C119" s="6">
        <v>42114</v>
      </c>
      <c r="D119" s="6">
        <v>42114</v>
      </c>
      <c r="E119" s="5" t="s">
        <v>65</v>
      </c>
      <c r="F119" s="5">
        <v>188586</v>
      </c>
      <c r="G119" s="5" t="s">
        <v>66</v>
      </c>
      <c r="H119" s="5" t="s">
        <v>67</v>
      </c>
      <c r="I119" s="5" t="s">
        <v>3</v>
      </c>
      <c r="J119" s="5" t="s">
        <v>68</v>
      </c>
      <c r="K119" s="5" t="s">
        <v>27</v>
      </c>
      <c r="L119" s="7">
        <v>650000</v>
      </c>
      <c r="M119" s="6">
        <v>42149</v>
      </c>
      <c r="N119" s="6">
        <v>42221</v>
      </c>
      <c r="O119" s="8">
        <v>650000</v>
      </c>
      <c r="P119" s="8">
        <f>L119-O119</f>
        <v>0</v>
      </c>
      <c r="Q119" s="8" t="str">
        <f>IF(P119=0,"Pago","Não Pago")</f>
        <v>Pago</v>
      </c>
      <c r="R119" s="5" t="s">
        <v>8</v>
      </c>
    </row>
    <row r="120" spans="1:19" x14ac:dyDescent="0.2">
      <c r="A120" s="5" t="s">
        <v>0</v>
      </c>
      <c r="B120" s="5">
        <v>451808</v>
      </c>
      <c r="C120" s="6">
        <v>42143</v>
      </c>
      <c r="D120" s="6">
        <v>42143</v>
      </c>
      <c r="E120" s="5" t="s">
        <v>65</v>
      </c>
      <c r="F120" s="5">
        <v>188991</v>
      </c>
      <c r="G120" s="5" t="s">
        <v>76</v>
      </c>
      <c r="H120" s="5" t="s">
        <v>67</v>
      </c>
      <c r="I120" s="5" t="s">
        <v>3</v>
      </c>
      <c r="J120" s="5" t="s">
        <v>68</v>
      </c>
      <c r="K120" s="5" t="s">
        <v>27</v>
      </c>
      <c r="L120" s="7">
        <v>49.9</v>
      </c>
      <c r="M120" s="6">
        <v>42160</v>
      </c>
      <c r="N120" s="6">
        <v>42173</v>
      </c>
      <c r="O120" s="8">
        <v>49.9</v>
      </c>
      <c r="P120" s="8">
        <f>L120-O120</f>
        <v>0</v>
      </c>
      <c r="Q120" s="8" t="str">
        <f>IF(P120=0,"Pago","Não Pago")</f>
        <v>Pago</v>
      </c>
      <c r="R120" s="5" t="s">
        <v>8</v>
      </c>
      <c r="S120" s="5" t="s">
        <v>78</v>
      </c>
    </row>
    <row r="121" spans="1:19" x14ac:dyDescent="0.2">
      <c r="A121" s="5" t="s">
        <v>0</v>
      </c>
      <c r="B121" s="5">
        <v>626788</v>
      </c>
      <c r="C121" s="6">
        <v>43009</v>
      </c>
      <c r="D121" s="6">
        <v>43009</v>
      </c>
      <c r="E121" s="5" t="s">
        <v>65</v>
      </c>
      <c r="G121" s="5" t="s">
        <v>82</v>
      </c>
      <c r="H121" s="5" t="s">
        <v>67</v>
      </c>
      <c r="I121" s="5" t="s">
        <v>3</v>
      </c>
      <c r="J121" s="5" t="s">
        <v>68</v>
      </c>
      <c r="K121" s="5" t="s">
        <v>27</v>
      </c>
      <c r="L121" s="7">
        <v>81152</v>
      </c>
      <c r="M121" s="6">
        <v>43013</v>
      </c>
      <c r="N121" s="6">
        <v>43552</v>
      </c>
      <c r="O121" s="8">
        <v>15141</v>
      </c>
      <c r="P121" s="8">
        <f>L121-O121</f>
        <v>66011</v>
      </c>
      <c r="Q121" s="8" t="str">
        <f>IF(P121=0,"Pago","Não Pago")</f>
        <v>Não Pago</v>
      </c>
      <c r="R121" s="5" t="s">
        <v>8</v>
      </c>
    </row>
    <row r="122" spans="1:19" x14ac:dyDescent="0.2">
      <c r="A122" s="5" t="s">
        <v>0</v>
      </c>
      <c r="B122" s="5">
        <v>626790</v>
      </c>
      <c r="C122" s="6">
        <v>43009</v>
      </c>
      <c r="D122" s="6">
        <v>43009</v>
      </c>
      <c r="E122" s="5" t="s">
        <v>65</v>
      </c>
      <c r="G122" s="5" t="s">
        <v>82</v>
      </c>
      <c r="H122" s="5" t="s">
        <v>67</v>
      </c>
      <c r="I122" s="5" t="s">
        <v>3</v>
      </c>
      <c r="J122" s="5" t="s">
        <v>68</v>
      </c>
      <c r="K122" s="5" t="s">
        <v>27</v>
      </c>
      <c r="L122" s="7">
        <v>147264</v>
      </c>
      <c r="M122" s="6">
        <v>43013</v>
      </c>
      <c r="N122" s="6">
        <v>43028</v>
      </c>
      <c r="O122" s="8">
        <v>15000</v>
      </c>
      <c r="P122" s="8">
        <f>L122-O122</f>
        <v>132264</v>
      </c>
      <c r="Q122" s="8" t="str">
        <f>IF(P122=0,"Pago","Não Pago")</f>
        <v>Não Pago</v>
      </c>
      <c r="R122" s="5" t="s">
        <v>8</v>
      </c>
    </row>
    <row r="123" spans="1:19" x14ac:dyDescent="0.2">
      <c r="A123" s="5" t="s">
        <v>0</v>
      </c>
      <c r="B123" s="5">
        <v>636333</v>
      </c>
      <c r="C123" s="6">
        <v>43222</v>
      </c>
      <c r="D123" s="6">
        <v>43222</v>
      </c>
      <c r="E123" s="5" t="s">
        <v>65</v>
      </c>
      <c r="G123" s="5" t="s">
        <v>82</v>
      </c>
      <c r="H123" s="5" t="s">
        <v>2</v>
      </c>
      <c r="I123" s="5" t="s">
        <v>3</v>
      </c>
      <c r="J123" s="5" t="s">
        <v>68</v>
      </c>
      <c r="K123" s="5" t="s">
        <v>27</v>
      </c>
      <c r="L123" s="7">
        <v>209472</v>
      </c>
      <c r="M123" s="6">
        <v>43245</v>
      </c>
      <c r="N123" s="6">
        <v>43227</v>
      </c>
      <c r="O123" s="8">
        <v>12500</v>
      </c>
      <c r="P123" s="8">
        <f>L123-O123</f>
        <v>196972</v>
      </c>
      <c r="Q123" s="8" t="str">
        <f>IF(P123=0,"Pago","Não Pago")</f>
        <v>Não Pago</v>
      </c>
      <c r="R123" s="5" t="s">
        <v>8</v>
      </c>
    </row>
    <row r="124" spans="1:19" x14ac:dyDescent="0.2">
      <c r="A124" s="5" t="s">
        <v>0</v>
      </c>
      <c r="B124" s="5">
        <v>631194</v>
      </c>
      <c r="C124" s="6">
        <v>43173</v>
      </c>
      <c r="D124" s="6">
        <v>43173</v>
      </c>
      <c r="E124" s="5" t="s">
        <v>65</v>
      </c>
      <c r="G124" s="5" t="s">
        <v>82</v>
      </c>
      <c r="H124" s="5" t="s">
        <v>67</v>
      </c>
      <c r="I124" s="5" t="s">
        <v>3</v>
      </c>
      <c r="J124" s="5" t="s">
        <v>68</v>
      </c>
      <c r="K124" s="5" t="s">
        <v>27</v>
      </c>
      <c r="L124" s="7">
        <v>203976</v>
      </c>
      <c r="M124" s="6">
        <v>43184</v>
      </c>
      <c r="N124" s="6">
        <v>43178</v>
      </c>
      <c r="O124" s="8">
        <v>12500</v>
      </c>
      <c r="P124" s="8">
        <f>L124-O124</f>
        <v>191476</v>
      </c>
      <c r="Q124" s="8" t="str">
        <f>IF(P124=0,"Pago","Não Pago")</f>
        <v>Não Pago</v>
      </c>
      <c r="R124" s="5" t="s">
        <v>8</v>
      </c>
    </row>
    <row r="125" spans="1:19" x14ac:dyDescent="0.2">
      <c r="A125" s="5" t="s">
        <v>0</v>
      </c>
      <c r="B125" s="5">
        <v>626799</v>
      </c>
      <c r="C125" s="6">
        <v>43070</v>
      </c>
      <c r="D125" s="6">
        <v>43070</v>
      </c>
      <c r="E125" s="5" t="s">
        <v>65</v>
      </c>
      <c r="G125" s="5" t="s">
        <v>82</v>
      </c>
      <c r="H125" s="5" t="s">
        <v>67</v>
      </c>
      <c r="I125" s="5" t="s">
        <v>3</v>
      </c>
      <c r="J125" s="5" t="s">
        <v>68</v>
      </c>
      <c r="K125" s="5" t="s">
        <v>27</v>
      </c>
      <c r="L125" s="7">
        <v>218688</v>
      </c>
      <c r="M125" s="6">
        <v>43074</v>
      </c>
      <c r="N125" s="6">
        <v>43096</v>
      </c>
      <c r="O125" s="8">
        <v>10000</v>
      </c>
      <c r="P125" s="8">
        <f>L125-O125</f>
        <v>208688</v>
      </c>
      <c r="Q125" s="8" t="str">
        <f>IF(P125=0,"Pago","Não Pago")</f>
        <v>Não Pago</v>
      </c>
      <c r="R125" s="5" t="s">
        <v>8</v>
      </c>
    </row>
    <row r="126" spans="1:19" x14ac:dyDescent="0.2">
      <c r="A126" s="5" t="s">
        <v>0</v>
      </c>
      <c r="B126" s="5">
        <v>633250</v>
      </c>
      <c r="C126" s="6">
        <v>43194</v>
      </c>
      <c r="D126" s="6">
        <v>43194</v>
      </c>
      <c r="E126" s="5" t="s">
        <v>65</v>
      </c>
      <c r="G126" s="5" t="s">
        <v>82</v>
      </c>
      <c r="H126" s="5" t="s">
        <v>2</v>
      </c>
      <c r="I126" s="5" t="s">
        <v>3</v>
      </c>
      <c r="J126" s="5" t="s">
        <v>68</v>
      </c>
      <c r="K126" s="5" t="s">
        <v>27</v>
      </c>
      <c r="L126" s="7">
        <v>212664</v>
      </c>
      <c r="M126" s="6">
        <v>43215</v>
      </c>
      <c r="N126" s="6">
        <v>43202</v>
      </c>
      <c r="O126" s="8">
        <v>10000</v>
      </c>
      <c r="P126" s="8">
        <f>L126-O126</f>
        <v>202664</v>
      </c>
      <c r="Q126" s="8" t="str">
        <f>IF(P126=0,"Pago","Não Pago")</f>
        <v>Não Pago</v>
      </c>
      <c r="R126" s="5" t="s">
        <v>8</v>
      </c>
    </row>
    <row r="127" spans="1:19" x14ac:dyDescent="0.2">
      <c r="A127" s="5" t="s">
        <v>0</v>
      </c>
      <c r="B127" s="5">
        <v>453008</v>
      </c>
      <c r="C127" s="6">
        <v>42143</v>
      </c>
      <c r="D127" s="6">
        <v>42143</v>
      </c>
      <c r="E127" s="5" t="s">
        <v>65</v>
      </c>
      <c r="F127" s="5">
        <v>190186</v>
      </c>
      <c r="G127" s="5" t="s">
        <v>66</v>
      </c>
      <c r="H127" s="5" t="s">
        <v>67</v>
      </c>
      <c r="I127" s="5" t="s">
        <v>3</v>
      </c>
      <c r="J127" s="5" t="s">
        <v>68</v>
      </c>
      <c r="K127" s="5" t="s">
        <v>27</v>
      </c>
      <c r="L127" s="7">
        <v>250000</v>
      </c>
      <c r="M127" s="6">
        <v>42180</v>
      </c>
      <c r="N127" s="6">
        <v>42248</v>
      </c>
      <c r="O127" s="8">
        <v>250000</v>
      </c>
      <c r="P127" s="8">
        <f>L127-O127</f>
        <v>0</v>
      </c>
      <c r="Q127" s="8" t="str">
        <f>IF(P127=0,"Pago","Não Pago")</f>
        <v>Pago</v>
      </c>
      <c r="R127" s="5" t="s">
        <v>8</v>
      </c>
    </row>
    <row r="128" spans="1:19" x14ac:dyDescent="0.2">
      <c r="A128" s="5" t="s">
        <v>0</v>
      </c>
      <c r="B128" s="5">
        <v>458265</v>
      </c>
      <c r="C128" s="6">
        <v>42171</v>
      </c>
      <c r="D128" s="6">
        <v>42171</v>
      </c>
      <c r="E128" s="5" t="s">
        <v>65</v>
      </c>
      <c r="F128" s="5">
        <v>190785</v>
      </c>
      <c r="G128" s="5" t="s">
        <v>76</v>
      </c>
      <c r="H128" s="5" t="s">
        <v>67</v>
      </c>
      <c r="I128" s="5" t="s">
        <v>3</v>
      </c>
      <c r="J128" s="5" t="s">
        <v>68</v>
      </c>
      <c r="K128" s="5" t="s">
        <v>27</v>
      </c>
      <c r="L128" s="7">
        <v>49.9</v>
      </c>
      <c r="M128" s="6">
        <v>42190</v>
      </c>
      <c r="N128" s="6">
        <v>42173</v>
      </c>
      <c r="O128" s="8">
        <v>49.9</v>
      </c>
      <c r="P128" s="8">
        <f>L128-O128</f>
        <v>0</v>
      </c>
      <c r="Q128" s="8" t="str">
        <f>IF(P128=0,"Pago","Não Pago")</f>
        <v>Pago</v>
      </c>
      <c r="R128" s="5" t="s">
        <v>8</v>
      </c>
      <c r="S128" s="5" t="s">
        <v>78</v>
      </c>
    </row>
    <row r="129" spans="1:19" x14ac:dyDescent="0.2">
      <c r="A129" s="5" t="s">
        <v>0</v>
      </c>
      <c r="B129" s="5">
        <v>459478</v>
      </c>
      <c r="C129" s="6">
        <v>42171</v>
      </c>
      <c r="D129" s="6">
        <v>42171</v>
      </c>
      <c r="E129" s="5" t="s">
        <v>65</v>
      </c>
      <c r="F129" s="5">
        <v>191986</v>
      </c>
      <c r="G129" s="5" t="s">
        <v>66</v>
      </c>
      <c r="H129" s="5" t="s">
        <v>67</v>
      </c>
      <c r="I129" s="5" t="s">
        <v>3</v>
      </c>
      <c r="J129" s="5" t="s">
        <v>68</v>
      </c>
      <c r="K129" s="5" t="s">
        <v>27</v>
      </c>
      <c r="L129" s="7">
        <v>450000</v>
      </c>
      <c r="M129" s="6">
        <v>42210</v>
      </c>
      <c r="N129" s="6">
        <v>42268</v>
      </c>
      <c r="O129" s="8">
        <v>450000</v>
      </c>
      <c r="P129" s="8">
        <f>L129-O129</f>
        <v>0</v>
      </c>
      <c r="Q129" s="8" t="str">
        <f>IF(P129=0,"Pago","Não Pago")</f>
        <v>Pago</v>
      </c>
      <c r="R129" s="5" t="s">
        <v>8</v>
      </c>
    </row>
    <row r="130" spans="1:19" x14ac:dyDescent="0.2">
      <c r="A130" s="5" t="s">
        <v>0</v>
      </c>
      <c r="B130" s="5">
        <v>464775</v>
      </c>
      <c r="C130" s="6">
        <v>42205</v>
      </c>
      <c r="D130" s="6">
        <v>42205</v>
      </c>
      <c r="E130" s="5" t="s">
        <v>65</v>
      </c>
      <c r="F130" s="5">
        <v>192494</v>
      </c>
      <c r="G130" s="5" t="s">
        <v>76</v>
      </c>
      <c r="H130" s="5" t="s">
        <v>67</v>
      </c>
      <c r="I130" s="5" t="s">
        <v>3</v>
      </c>
      <c r="J130" s="5" t="s">
        <v>68</v>
      </c>
      <c r="K130" s="5" t="s">
        <v>27</v>
      </c>
      <c r="L130" s="7">
        <v>49.9</v>
      </c>
      <c r="M130" s="6">
        <v>42221</v>
      </c>
      <c r="N130" s="6">
        <v>42268</v>
      </c>
      <c r="O130" s="8">
        <v>49.9</v>
      </c>
      <c r="P130" s="8">
        <f>L130-O130</f>
        <v>0</v>
      </c>
      <c r="Q130" s="8" t="str">
        <f>IF(P130=0,"Pago","Não Pago")</f>
        <v>Pago</v>
      </c>
      <c r="R130" s="5" t="s">
        <v>8</v>
      </c>
      <c r="S130" s="5" t="s">
        <v>78</v>
      </c>
    </row>
    <row r="131" spans="1:19" x14ac:dyDescent="0.2">
      <c r="A131" s="5" t="s">
        <v>0</v>
      </c>
      <c r="B131" s="5">
        <v>465988</v>
      </c>
      <c r="C131" s="6">
        <v>42205</v>
      </c>
      <c r="D131" s="6">
        <v>42205</v>
      </c>
      <c r="E131" s="5" t="s">
        <v>65</v>
      </c>
      <c r="F131" s="5">
        <v>193702</v>
      </c>
      <c r="G131" s="5" t="s">
        <v>66</v>
      </c>
      <c r="H131" s="5" t="s">
        <v>67</v>
      </c>
      <c r="I131" s="5" t="s">
        <v>3</v>
      </c>
      <c r="J131" s="5" t="s">
        <v>68</v>
      </c>
      <c r="K131" s="5" t="s">
        <v>27</v>
      </c>
      <c r="L131" s="7">
        <v>450000</v>
      </c>
      <c r="M131" s="6">
        <v>42241</v>
      </c>
      <c r="N131" s="6">
        <v>42291</v>
      </c>
      <c r="O131" s="8">
        <v>450000</v>
      </c>
      <c r="P131" s="8">
        <f>L131-O131</f>
        <v>0</v>
      </c>
      <c r="Q131" s="8" t="str">
        <f>IF(P131=0,"Pago","Não Pago")</f>
        <v>Pago</v>
      </c>
      <c r="R131" s="5" t="s">
        <v>8</v>
      </c>
    </row>
    <row r="132" spans="1:19" x14ac:dyDescent="0.2">
      <c r="A132" s="5" t="s">
        <v>0</v>
      </c>
      <c r="B132" s="5">
        <v>470748</v>
      </c>
      <c r="C132" s="6">
        <v>42235</v>
      </c>
      <c r="D132" s="6">
        <v>42235</v>
      </c>
      <c r="E132" s="5" t="s">
        <v>65</v>
      </c>
      <c r="F132" s="5">
        <v>194120</v>
      </c>
      <c r="G132" s="5" t="s">
        <v>76</v>
      </c>
      <c r="H132" s="5" t="s">
        <v>67</v>
      </c>
      <c r="I132" s="5" t="s">
        <v>3</v>
      </c>
      <c r="J132" s="5" t="s">
        <v>68</v>
      </c>
      <c r="K132" s="5" t="s">
        <v>27</v>
      </c>
      <c r="L132" s="7">
        <v>49.9</v>
      </c>
      <c r="M132" s="6">
        <v>42252</v>
      </c>
      <c r="N132" s="6">
        <v>42291</v>
      </c>
      <c r="O132" s="8">
        <v>49.9</v>
      </c>
      <c r="P132" s="8">
        <f>L132-O132</f>
        <v>0</v>
      </c>
      <c r="Q132" s="8" t="str">
        <f>IF(P132=0,"Pago","Não Pago")</f>
        <v>Pago</v>
      </c>
      <c r="R132" s="5" t="s">
        <v>8</v>
      </c>
      <c r="S132" s="5" t="s">
        <v>78</v>
      </c>
    </row>
    <row r="133" spans="1:19" x14ac:dyDescent="0.2">
      <c r="A133" s="5" t="s">
        <v>0</v>
      </c>
      <c r="B133" s="5">
        <v>699554</v>
      </c>
      <c r="C133" s="6">
        <v>43832</v>
      </c>
      <c r="D133" s="6">
        <v>43832</v>
      </c>
      <c r="E133" s="5" t="s">
        <v>65</v>
      </c>
      <c r="G133" s="5" t="s">
        <v>82</v>
      </c>
      <c r="H133" s="5" t="s">
        <v>2</v>
      </c>
      <c r="I133" s="5" t="s">
        <v>3</v>
      </c>
      <c r="J133" s="5" t="s">
        <v>7</v>
      </c>
      <c r="K133" s="5" t="s">
        <v>27</v>
      </c>
      <c r="L133" s="7">
        <v>27648</v>
      </c>
      <c r="M133" s="6">
        <v>43855</v>
      </c>
      <c r="N133" s="6">
        <v>43871</v>
      </c>
      <c r="O133" s="8">
        <v>5539</v>
      </c>
      <c r="P133" s="8">
        <f>L133-O133</f>
        <v>22109</v>
      </c>
      <c r="Q133" s="8" t="str">
        <f>IF(P133=0,"Pago","Não Pago")</f>
        <v>Não Pago</v>
      </c>
      <c r="R133" s="5" t="s">
        <v>8</v>
      </c>
    </row>
    <row r="134" spans="1:19" x14ac:dyDescent="0.2">
      <c r="A134" s="5" t="s">
        <v>0</v>
      </c>
      <c r="B134" s="5">
        <v>471981</v>
      </c>
      <c r="C134" s="6">
        <v>42235</v>
      </c>
      <c r="D134" s="6">
        <v>42235</v>
      </c>
      <c r="E134" s="5" t="s">
        <v>65</v>
      </c>
      <c r="F134" s="5">
        <v>195348</v>
      </c>
      <c r="G134" s="5" t="s">
        <v>66</v>
      </c>
      <c r="H134" s="5" t="s">
        <v>67</v>
      </c>
      <c r="I134" s="5" t="s">
        <v>3</v>
      </c>
      <c r="J134" s="5" t="s">
        <v>68</v>
      </c>
      <c r="K134" s="5" t="s">
        <v>27</v>
      </c>
      <c r="L134" s="7">
        <v>700000</v>
      </c>
      <c r="M134" s="6">
        <v>42272</v>
      </c>
      <c r="N134" s="6">
        <v>42335</v>
      </c>
      <c r="O134" s="8">
        <v>700000</v>
      </c>
      <c r="P134" s="8">
        <f>L134-O134</f>
        <v>0</v>
      </c>
      <c r="Q134" s="8" t="str">
        <f>IF(P134=0,"Pago","Não Pago")</f>
        <v>Pago</v>
      </c>
      <c r="R134" s="5" t="s">
        <v>8</v>
      </c>
    </row>
    <row r="135" spans="1:19" x14ac:dyDescent="0.2">
      <c r="A135" s="5" t="s">
        <v>0</v>
      </c>
      <c r="B135" s="5">
        <v>477676</v>
      </c>
      <c r="C135" s="6">
        <v>42264</v>
      </c>
      <c r="D135" s="6">
        <v>42264</v>
      </c>
      <c r="E135" s="5" t="s">
        <v>65</v>
      </c>
      <c r="F135" s="5">
        <v>195782</v>
      </c>
      <c r="G135" s="5" t="s">
        <v>76</v>
      </c>
      <c r="H135" s="5" t="s">
        <v>67</v>
      </c>
      <c r="I135" s="5" t="s">
        <v>3</v>
      </c>
      <c r="J135" s="5" t="s">
        <v>68</v>
      </c>
      <c r="K135" s="5" t="s">
        <v>27</v>
      </c>
      <c r="L135" s="7">
        <v>49.9</v>
      </c>
      <c r="M135" s="6">
        <v>42282</v>
      </c>
      <c r="N135" s="6">
        <v>42335</v>
      </c>
      <c r="O135" s="8">
        <v>49.9</v>
      </c>
      <c r="P135" s="8">
        <f>L135-O135</f>
        <v>0</v>
      </c>
      <c r="Q135" s="8" t="str">
        <f>IF(P135=0,"Pago","Não Pago")</f>
        <v>Pago</v>
      </c>
      <c r="R135" s="5" t="s">
        <v>8</v>
      </c>
      <c r="S135" s="5" t="s">
        <v>78</v>
      </c>
    </row>
    <row r="136" spans="1:19" x14ac:dyDescent="0.2">
      <c r="A136" s="5" t="s">
        <v>0</v>
      </c>
      <c r="B136" s="5">
        <v>687819</v>
      </c>
      <c r="C136" s="6">
        <v>43774</v>
      </c>
      <c r="D136" s="6">
        <v>43774</v>
      </c>
      <c r="E136" s="5" t="s">
        <v>65</v>
      </c>
      <c r="G136" s="5" t="s">
        <v>82</v>
      </c>
      <c r="H136" s="5" t="s">
        <v>2</v>
      </c>
      <c r="I136" s="5" t="s">
        <v>3</v>
      </c>
      <c r="J136" s="5" t="s">
        <v>7</v>
      </c>
      <c r="K136" s="5" t="s">
        <v>27</v>
      </c>
      <c r="L136" s="7">
        <v>122213</v>
      </c>
      <c r="M136" s="6">
        <v>43794</v>
      </c>
      <c r="N136" s="6">
        <v>43802</v>
      </c>
      <c r="O136" s="8">
        <v>312</v>
      </c>
      <c r="P136" s="8">
        <f>L136-O136</f>
        <v>121901</v>
      </c>
      <c r="Q136" s="8" t="str">
        <f>IF(P136=0,"Pago","Não Pago")</f>
        <v>Não Pago</v>
      </c>
      <c r="R136" s="5" t="s">
        <v>8</v>
      </c>
    </row>
    <row r="137" spans="1:19" x14ac:dyDescent="0.2">
      <c r="A137" s="5" t="s">
        <v>0</v>
      </c>
      <c r="B137" s="5">
        <v>478921</v>
      </c>
      <c r="C137" s="6">
        <v>42264</v>
      </c>
      <c r="D137" s="6">
        <v>42264</v>
      </c>
      <c r="E137" s="5" t="s">
        <v>65</v>
      </c>
      <c r="F137" s="5">
        <v>196997</v>
      </c>
      <c r="G137" s="5" t="s">
        <v>66</v>
      </c>
      <c r="H137" s="5" t="s">
        <v>67</v>
      </c>
      <c r="I137" s="5" t="s">
        <v>3</v>
      </c>
      <c r="J137" s="5" t="s">
        <v>68</v>
      </c>
      <c r="K137" s="5" t="s">
        <v>27</v>
      </c>
      <c r="L137" s="7">
        <v>450000</v>
      </c>
      <c r="M137" s="6">
        <v>42302</v>
      </c>
      <c r="N137" s="6">
        <v>42418</v>
      </c>
      <c r="O137" s="8">
        <v>450000</v>
      </c>
      <c r="P137" s="8">
        <f>L137-O137</f>
        <v>0</v>
      </c>
      <c r="Q137" s="8" t="str">
        <f>IF(P137=0,"Pago","Não Pago")</f>
        <v>Pago</v>
      </c>
      <c r="R137" s="5" t="s">
        <v>8</v>
      </c>
    </row>
    <row r="138" spans="1:19" x14ac:dyDescent="0.2">
      <c r="A138" s="5" t="s">
        <v>0</v>
      </c>
      <c r="B138" s="5">
        <v>488922</v>
      </c>
      <c r="C138" s="6">
        <v>42303</v>
      </c>
      <c r="D138" s="6">
        <v>42303</v>
      </c>
      <c r="E138" s="5" t="s">
        <v>65</v>
      </c>
      <c r="F138" s="5">
        <v>197342</v>
      </c>
      <c r="G138" s="5" t="s">
        <v>76</v>
      </c>
      <c r="H138" s="5" t="s">
        <v>67</v>
      </c>
      <c r="I138" s="5" t="s">
        <v>3</v>
      </c>
      <c r="J138" s="5" t="s">
        <v>68</v>
      </c>
      <c r="K138" s="5" t="s">
        <v>27</v>
      </c>
      <c r="L138" s="7">
        <v>49.9</v>
      </c>
      <c r="M138" s="6">
        <v>42313</v>
      </c>
      <c r="N138" s="6">
        <v>42418</v>
      </c>
      <c r="O138" s="8">
        <v>49.9</v>
      </c>
      <c r="P138" s="8">
        <f>L138-O138</f>
        <v>0</v>
      </c>
      <c r="Q138" s="8" t="str">
        <f>IF(P138=0,"Pago","Não Pago")</f>
        <v>Pago</v>
      </c>
      <c r="R138" s="5" t="s">
        <v>8</v>
      </c>
      <c r="S138" s="5" t="s">
        <v>78</v>
      </c>
    </row>
    <row r="139" spans="1:19" x14ac:dyDescent="0.2">
      <c r="A139" s="5" t="s">
        <v>0</v>
      </c>
      <c r="B139" s="5">
        <v>489311</v>
      </c>
      <c r="C139" s="6">
        <v>42303</v>
      </c>
      <c r="D139" s="6">
        <v>42303</v>
      </c>
      <c r="E139" s="5" t="s">
        <v>65</v>
      </c>
      <c r="F139" s="5">
        <v>197731</v>
      </c>
      <c r="G139" s="5" t="s">
        <v>66</v>
      </c>
      <c r="H139" s="5" t="s">
        <v>67</v>
      </c>
      <c r="I139" s="5" t="s">
        <v>3</v>
      </c>
      <c r="J139" s="5" t="s">
        <v>68</v>
      </c>
      <c r="K139" s="5" t="s">
        <v>27</v>
      </c>
      <c r="L139" s="7">
        <v>850000</v>
      </c>
      <c r="M139" s="6">
        <v>42333</v>
      </c>
      <c r="N139" s="6">
        <v>42494</v>
      </c>
      <c r="O139" s="8">
        <v>850000</v>
      </c>
      <c r="P139" s="8">
        <f>L139-O139</f>
        <v>0</v>
      </c>
      <c r="Q139" s="8" t="str">
        <f>IF(P139=0,"Pago","Não Pago")</f>
        <v>Pago</v>
      </c>
      <c r="R139" s="5" t="s">
        <v>8</v>
      </c>
    </row>
    <row r="140" spans="1:19" x14ac:dyDescent="0.2">
      <c r="A140" s="5" t="s">
        <v>0</v>
      </c>
      <c r="B140" s="5">
        <v>496587</v>
      </c>
      <c r="C140" s="6">
        <v>42331</v>
      </c>
      <c r="D140" s="6">
        <v>42331</v>
      </c>
      <c r="E140" s="5" t="s">
        <v>65</v>
      </c>
      <c r="F140" s="5">
        <v>198010</v>
      </c>
      <c r="G140" s="5" t="s">
        <v>76</v>
      </c>
      <c r="H140" s="5" t="s">
        <v>67</v>
      </c>
      <c r="I140" s="5" t="s">
        <v>3</v>
      </c>
      <c r="J140" s="5" t="s">
        <v>68</v>
      </c>
      <c r="K140" s="5" t="s">
        <v>27</v>
      </c>
      <c r="L140" s="7">
        <v>49.9</v>
      </c>
      <c r="M140" s="6">
        <v>42343</v>
      </c>
      <c r="N140" s="6">
        <v>42494</v>
      </c>
      <c r="O140" s="8">
        <v>49.9</v>
      </c>
      <c r="P140" s="8">
        <f>L140-O140</f>
        <v>0</v>
      </c>
      <c r="Q140" s="8" t="str">
        <f>IF(P140=0,"Pago","Não Pago")</f>
        <v>Pago</v>
      </c>
      <c r="R140" s="5" t="s">
        <v>8</v>
      </c>
      <c r="S140" s="5" t="s">
        <v>78</v>
      </c>
    </row>
    <row r="141" spans="1:19" x14ac:dyDescent="0.2">
      <c r="A141" s="5" t="s">
        <v>0</v>
      </c>
      <c r="B141" s="5">
        <v>496976</v>
      </c>
      <c r="C141" s="6">
        <v>42331</v>
      </c>
      <c r="D141" s="6">
        <v>42331</v>
      </c>
      <c r="E141" s="5" t="s">
        <v>65</v>
      </c>
      <c r="F141" s="5">
        <v>198383</v>
      </c>
      <c r="G141" s="5" t="s">
        <v>66</v>
      </c>
      <c r="H141" s="5" t="s">
        <v>67</v>
      </c>
      <c r="I141" s="5" t="s">
        <v>3</v>
      </c>
      <c r="J141" s="5" t="s">
        <v>68</v>
      </c>
      <c r="K141" s="5" t="s">
        <v>27</v>
      </c>
      <c r="L141" s="7">
        <v>450000</v>
      </c>
      <c r="M141" s="6">
        <v>42363</v>
      </c>
      <c r="N141" s="6">
        <v>42543</v>
      </c>
      <c r="O141" s="8">
        <v>450000</v>
      </c>
      <c r="P141" s="8">
        <f>L141-O141</f>
        <v>0</v>
      </c>
      <c r="Q141" s="8" t="str">
        <f>IF(P141=0,"Pago","Não Pago")</f>
        <v>Pago</v>
      </c>
      <c r="R141" s="5" t="s">
        <v>8</v>
      </c>
    </row>
    <row r="142" spans="1:19" x14ac:dyDescent="0.2">
      <c r="A142" s="5" t="s">
        <v>0</v>
      </c>
      <c r="B142" s="5">
        <v>503358</v>
      </c>
      <c r="C142" s="6">
        <v>42353</v>
      </c>
      <c r="D142" s="6">
        <v>42353</v>
      </c>
      <c r="E142" s="5" t="s">
        <v>65</v>
      </c>
      <c r="F142" s="5">
        <v>198511</v>
      </c>
      <c r="G142" s="5" t="s">
        <v>76</v>
      </c>
      <c r="H142" s="5" t="s">
        <v>67</v>
      </c>
      <c r="I142" s="5" t="s">
        <v>3</v>
      </c>
      <c r="J142" s="5" t="s">
        <v>68</v>
      </c>
      <c r="K142" s="5" t="s">
        <v>27</v>
      </c>
      <c r="L142" s="7">
        <v>49.9</v>
      </c>
      <c r="M142" s="6">
        <v>42374</v>
      </c>
      <c r="N142" s="6">
        <v>42430</v>
      </c>
      <c r="O142" s="8">
        <v>49.9</v>
      </c>
      <c r="P142" s="8">
        <f>L142-O142</f>
        <v>0</v>
      </c>
      <c r="Q142" s="8" t="str">
        <f>IF(P142=0,"Pago","Não Pago")</f>
        <v>Pago</v>
      </c>
      <c r="R142" s="5" t="s">
        <v>8</v>
      </c>
      <c r="S142" s="5" t="s">
        <v>78</v>
      </c>
    </row>
    <row r="143" spans="1:19" x14ac:dyDescent="0.2">
      <c r="A143" s="5" t="s">
        <v>0</v>
      </c>
      <c r="B143" s="5">
        <v>503743</v>
      </c>
      <c r="C143" s="6">
        <v>42353</v>
      </c>
      <c r="D143" s="6">
        <v>42353</v>
      </c>
      <c r="E143" s="5" t="s">
        <v>65</v>
      </c>
      <c r="F143" s="5">
        <v>198885</v>
      </c>
      <c r="G143" s="5" t="s">
        <v>66</v>
      </c>
      <c r="H143" s="5" t="s">
        <v>67</v>
      </c>
      <c r="I143" s="5" t="s">
        <v>3</v>
      </c>
      <c r="J143" s="5" t="s">
        <v>68</v>
      </c>
      <c r="K143" s="5" t="s">
        <v>27</v>
      </c>
      <c r="L143" s="7">
        <v>200000</v>
      </c>
      <c r="M143" s="6">
        <v>42394</v>
      </c>
      <c r="N143" s="6">
        <v>42530</v>
      </c>
      <c r="O143" s="8">
        <v>200000</v>
      </c>
      <c r="P143" s="8">
        <f>L143-O143</f>
        <v>0</v>
      </c>
      <c r="Q143" s="8" t="str">
        <f>IF(P143=0,"Pago","Não Pago")</f>
        <v>Pago</v>
      </c>
      <c r="R143" s="5" t="s">
        <v>8</v>
      </c>
    </row>
    <row r="144" spans="1:19" x14ac:dyDescent="0.2">
      <c r="A144" s="5" t="s">
        <v>0</v>
      </c>
      <c r="B144" s="5">
        <v>511364</v>
      </c>
      <c r="C144" s="6">
        <v>42390</v>
      </c>
      <c r="D144" s="6">
        <v>42390</v>
      </c>
      <c r="E144" s="5" t="s">
        <v>65</v>
      </c>
      <c r="F144" s="5">
        <v>199600</v>
      </c>
      <c r="G144" s="5" t="s">
        <v>66</v>
      </c>
      <c r="H144" s="5" t="s">
        <v>67</v>
      </c>
      <c r="I144" s="5" t="s">
        <v>3</v>
      </c>
      <c r="J144" s="5" t="s">
        <v>68</v>
      </c>
      <c r="K144" s="5" t="s">
        <v>27</v>
      </c>
      <c r="L144" s="7">
        <v>150000</v>
      </c>
      <c r="M144" s="6">
        <v>42425</v>
      </c>
      <c r="N144" s="6">
        <v>42584</v>
      </c>
      <c r="O144" s="8">
        <v>150000</v>
      </c>
      <c r="P144" s="8">
        <f>L144-O144</f>
        <v>0</v>
      </c>
      <c r="Q144" s="8" t="str">
        <f>IF(P144=0,"Pago","Não Pago")</f>
        <v>Pago</v>
      </c>
      <c r="R144" s="5" t="s">
        <v>8</v>
      </c>
    </row>
    <row r="145" spans="1:19" x14ac:dyDescent="0.2">
      <c r="A145" s="5" t="s">
        <v>0</v>
      </c>
      <c r="B145" s="5">
        <v>518510</v>
      </c>
      <c r="C145" s="6">
        <v>42418</v>
      </c>
      <c r="D145" s="6">
        <v>42418</v>
      </c>
      <c r="E145" s="5" t="s">
        <v>65</v>
      </c>
      <c r="F145" s="5">
        <v>200192</v>
      </c>
      <c r="G145" s="5" t="s">
        <v>66</v>
      </c>
      <c r="H145" s="5" t="s">
        <v>67</v>
      </c>
      <c r="I145" s="5" t="s">
        <v>3</v>
      </c>
      <c r="J145" s="5" t="s">
        <v>68</v>
      </c>
      <c r="K145" s="5" t="s">
        <v>27</v>
      </c>
      <c r="L145" s="7">
        <v>200000</v>
      </c>
      <c r="M145" s="6">
        <v>42454</v>
      </c>
      <c r="N145" s="6">
        <v>42650</v>
      </c>
      <c r="O145" s="8">
        <v>200000</v>
      </c>
      <c r="P145" s="8">
        <f>L145-O145</f>
        <v>0</v>
      </c>
      <c r="Q145" s="8" t="str">
        <f>IF(P145=0,"Pago","Não Pago")</f>
        <v>Pago</v>
      </c>
      <c r="R145" s="5" t="s">
        <v>8</v>
      </c>
    </row>
    <row r="146" spans="1:19" x14ac:dyDescent="0.2">
      <c r="A146" s="5" t="s">
        <v>0</v>
      </c>
      <c r="B146" s="5">
        <v>528354</v>
      </c>
      <c r="C146" s="6">
        <v>42447</v>
      </c>
      <c r="D146" s="6">
        <v>42447</v>
      </c>
      <c r="E146" s="5" t="s">
        <v>65</v>
      </c>
      <c r="F146" s="5">
        <v>200986</v>
      </c>
      <c r="G146" s="5" t="s">
        <v>66</v>
      </c>
      <c r="H146" s="5" t="s">
        <v>67</v>
      </c>
      <c r="I146" s="5" t="s">
        <v>3</v>
      </c>
      <c r="J146" s="5" t="s">
        <v>68</v>
      </c>
      <c r="K146" s="5" t="s">
        <v>27</v>
      </c>
      <c r="L146" s="7">
        <v>200000</v>
      </c>
      <c r="M146" s="6">
        <v>42485</v>
      </c>
      <c r="N146" s="6">
        <v>42692</v>
      </c>
      <c r="O146" s="8">
        <v>200000</v>
      </c>
      <c r="P146" s="8">
        <f>L146-O146</f>
        <v>0</v>
      </c>
      <c r="Q146" s="8" t="str">
        <f>IF(P146=0,"Pago","Não Pago")</f>
        <v>Pago</v>
      </c>
      <c r="R146" s="5" t="s">
        <v>8</v>
      </c>
    </row>
    <row r="147" spans="1:19" x14ac:dyDescent="0.2">
      <c r="A147" s="5" t="s">
        <v>0</v>
      </c>
      <c r="B147" s="5">
        <v>536804</v>
      </c>
      <c r="C147" s="6">
        <v>42482</v>
      </c>
      <c r="D147" s="6">
        <v>42482</v>
      </c>
      <c r="E147" s="5" t="s">
        <v>65</v>
      </c>
      <c r="F147" s="5">
        <v>201663</v>
      </c>
      <c r="G147" s="5" t="s">
        <v>66</v>
      </c>
      <c r="H147" s="5" t="s">
        <v>67</v>
      </c>
      <c r="I147" s="5" t="s">
        <v>3</v>
      </c>
      <c r="J147" s="5" t="s">
        <v>68</v>
      </c>
      <c r="K147" s="5" t="s">
        <v>27</v>
      </c>
      <c r="L147" s="7">
        <v>200000</v>
      </c>
      <c r="M147" s="6">
        <v>42515</v>
      </c>
      <c r="N147" s="6">
        <v>42738</v>
      </c>
      <c r="O147" s="8">
        <v>200000</v>
      </c>
      <c r="P147" s="8">
        <f>L147-O147</f>
        <v>0</v>
      </c>
      <c r="Q147" s="8" t="str">
        <f>IF(P147=0,"Pago","Não Pago")</f>
        <v>Pago</v>
      </c>
      <c r="R147" s="5" t="s">
        <v>8</v>
      </c>
    </row>
    <row r="148" spans="1:19" x14ac:dyDescent="0.2">
      <c r="A148" s="5" t="s">
        <v>0</v>
      </c>
      <c r="B148" s="5">
        <v>544595</v>
      </c>
      <c r="C148" s="6">
        <v>42507</v>
      </c>
      <c r="D148" s="6">
        <v>42507</v>
      </c>
      <c r="E148" s="5" t="s">
        <v>65</v>
      </c>
      <c r="F148" s="5">
        <v>202305</v>
      </c>
      <c r="G148" s="5" t="s">
        <v>66</v>
      </c>
      <c r="H148" s="5" t="s">
        <v>67</v>
      </c>
      <c r="I148" s="5" t="s">
        <v>3</v>
      </c>
      <c r="J148" s="5" t="s">
        <v>68</v>
      </c>
      <c r="K148" s="5" t="s">
        <v>27</v>
      </c>
      <c r="L148" s="7">
        <v>800000</v>
      </c>
      <c r="M148" s="6">
        <v>42546</v>
      </c>
      <c r="N148" s="6">
        <v>42573</v>
      </c>
      <c r="O148" s="8">
        <v>800000</v>
      </c>
      <c r="P148" s="8">
        <f>L148-O148</f>
        <v>0</v>
      </c>
      <c r="Q148" s="8" t="str">
        <f>IF(P148=0,"Pago","Não Pago")</f>
        <v>Pago</v>
      </c>
      <c r="R148" s="5" t="s">
        <v>8</v>
      </c>
    </row>
    <row r="149" spans="1:19" x14ac:dyDescent="0.2">
      <c r="A149" s="5" t="s">
        <v>0</v>
      </c>
      <c r="B149" s="5">
        <v>552363</v>
      </c>
      <c r="C149" s="6">
        <v>42537</v>
      </c>
      <c r="D149" s="6">
        <v>42537</v>
      </c>
      <c r="E149" s="5" t="s">
        <v>65</v>
      </c>
      <c r="F149" s="5">
        <v>202786</v>
      </c>
      <c r="G149" s="5" t="s">
        <v>66</v>
      </c>
      <c r="H149" s="5" t="s">
        <v>67</v>
      </c>
      <c r="I149" s="5" t="s">
        <v>3</v>
      </c>
      <c r="J149" s="5" t="s">
        <v>68</v>
      </c>
      <c r="K149" s="5" t="s">
        <v>27</v>
      </c>
      <c r="L149" s="7">
        <v>700000</v>
      </c>
      <c r="M149" s="6">
        <v>42576</v>
      </c>
      <c r="N149" s="6">
        <v>42597</v>
      </c>
      <c r="O149" s="8">
        <v>700000</v>
      </c>
      <c r="P149" s="8">
        <f>L149-O149</f>
        <v>0</v>
      </c>
      <c r="Q149" s="8" t="str">
        <f>IF(P149=0,"Pago","Não Pago")</f>
        <v>Pago</v>
      </c>
      <c r="R149" s="5" t="s">
        <v>8</v>
      </c>
    </row>
    <row r="150" spans="1:19" x14ac:dyDescent="0.2">
      <c r="A150" s="5" t="s">
        <v>0</v>
      </c>
      <c r="B150" s="5">
        <v>560955</v>
      </c>
      <c r="C150" s="6">
        <v>42569</v>
      </c>
      <c r="D150" s="6">
        <v>42569</v>
      </c>
      <c r="E150" s="5" t="s">
        <v>65</v>
      </c>
      <c r="F150" s="5">
        <v>203407</v>
      </c>
      <c r="G150" s="5" t="s">
        <v>66</v>
      </c>
      <c r="H150" s="5" t="s">
        <v>67</v>
      </c>
      <c r="I150" s="5" t="s">
        <v>3</v>
      </c>
      <c r="J150" s="5" t="s">
        <v>68</v>
      </c>
      <c r="K150" s="5" t="s">
        <v>27</v>
      </c>
      <c r="L150" s="7">
        <v>500000</v>
      </c>
      <c r="M150" s="6">
        <v>42607</v>
      </c>
      <c r="N150" s="6">
        <v>42628</v>
      </c>
      <c r="O150" s="8">
        <v>500000</v>
      </c>
      <c r="P150" s="8">
        <f>L150-O150</f>
        <v>0</v>
      </c>
      <c r="Q150" s="8" t="str">
        <f>IF(P150=0,"Pago","Não Pago")</f>
        <v>Pago</v>
      </c>
      <c r="R150" s="5" t="s">
        <v>8</v>
      </c>
    </row>
    <row r="151" spans="1:19" x14ac:dyDescent="0.2">
      <c r="A151" s="5" t="s">
        <v>0</v>
      </c>
      <c r="B151" s="5">
        <v>571201</v>
      </c>
      <c r="C151" s="6">
        <v>42614</v>
      </c>
      <c r="D151" s="6">
        <v>42614</v>
      </c>
      <c r="E151" s="5" t="s">
        <v>65</v>
      </c>
      <c r="G151" s="5" t="s">
        <v>82</v>
      </c>
      <c r="H151" s="5" t="s">
        <v>67</v>
      </c>
      <c r="I151" s="5" t="s">
        <v>3</v>
      </c>
      <c r="J151" s="5" t="s">
        <v>68</v>
      </c>
      <c r="K151" s="5" t="s">
        <v>27</v>
      </c>
      <c r="L151" s="7">
        <v>2376704</v>
      </c>
      <c r="M151" s="6">
        <v>42618</v>
      </c>
      <c r="N151" s="6">
        <v>42705</v>
      </c>
      <c r="O151" s="8">
        <v>2376704</v>
      </c>
      <c r="P151" s="8">
        <f>L151-O151</f>
        <v>0</v>
      </c>
      <c r="Q151" s="8" t="str">
        <f>IF(P151=0,"Pago","Não Pago")</f>
        <v>Pago</v>
      </c>
      <c r="R151" s="5" t="s">
        <v>8</v>
      </c>
      <c r="S151" s="5" t="s">
        <v>85</v>
      </c>
    </row>
    <row r="152" spans="1:19" x14ac:dyDescent="0.2">
      <c r="A152" s="5" t="s">
        <v>0</v>
      </c>
      <c r="B152" s="5">
        <v>569286</v>
      </c>
      <c r="C152" s="6">
        <v>42598</v>
      </c>
      <c r="D152" s="6">
        <v>42598</v>
      </c>
      <c r="E152" s="5" t="s">
        <v>65</v>
      </c>
      <c r="F152" s="5">
        <v>203976</v>
      </c>
      <c r="G152" s="5" t="s">
        <v>66</v>
      </c>
      <c r="H152" s="5" t="s">
        <v>67</v>
      </c>
      <c r="I152" s="5" t="s">
        <v>3</v>
      </c>
      <c r="J152" s="5" t="s">
        <v>68</v>
      </c>
      <c r="K152" s="5" t="s">
        <v>27</v>
      </c>
      <c r="L152" s="7">
        <v>850000</v>
      </c>
      <c r="M152" s="6">
        <v>42638</v>
      </c>
      <c r="N152" s="6">
        <v>42765</v>
      </c>
      <c r="O152" s="8">
        <v>850000</v>
      </c>
      <c r="P152" s="8">
        <f>L152-O152</f>
        <v>0</v>
      </c>
      <c r="Q152" s="8" t="str">
        <f>IF(P152=0,"Pago","Não Pago")</f>
        <v>Pago</v>
      </c>
      <c r="R152" s="5" t="s">
        <v>8</v>
      </c>
    </row>
    <row r="153" spans="1:19" x14ac:dyDescent="0.2">
      <c r="A153" s="5" t="s">
        <v>0</v>
      </c>
      <c r="B153" s="5">
        <v>571199</v>
      </c>
      <c r="C153" s="6">
        <v>42614</v>
      </c>
      <c r="D153" s="6">
        <v>42614</v>
      </c>
      <c r="E153" s="5" t="s">
        <v>65</v>
      </c>
      <c r="G153" s="5" t="s">
        <v>82</v>
      </c>
      <c r="H153" s="5" t="s">
        <v>67</v>
      </c>
      <c r="I153" s="5" t="s">
        <v>3</v>
      </c>
      <c r="J153" s="5" t="s">
        <v>68</v>
      </c>
      <c r="K153" s="5" t="s">
        <v>27</v>
      </c>
      <c r="L153" s="7">
        <v>112000</v>
      </c>
      <c r="M153" s="6">
        <v>42638</v>
      </c>
      <c r="N153" s="6">
        <v>42783</v>
      </c>
      <c r="O153" s="8">
        <v>112000</v>
      </c>
      <c r="P153" s="8">
        <f>L153-O153</f>
        <v>0</v>
      </c>
      <c r="Q153" s="8" t="str">
        <f>IF(P153=0,"Pago","Não Pago")</f>
        <v>Pago</v>
      </c>
      <c r="R153" s="5" t="s">
        <v>8</v>
      </c>
      <c r="S153" s="5" t="s">
        <v>83</v>
      </c>
    </row>
    <row r="154" spans="1:19" x14ac:dyDescent="0.2">
      <c r="A154" s="5" t="s">
        <v>0</v>
      </c>
      <c r="B154" s="5">
        <v>571200</v>
      </c>
      <c r="C154" s="6">
        <v>42614</v>
      </c>
      <c r="D154" s="6">
        <v>42614</v>
      </c>
      <c r="E154" s="5" t="s">
        <v>65</v>
      </c>
      <c r="G154" s="5" t="s">
        <v>82</v>
      </c>
      <c r="H154" s="5" t="s">
        <v>67</v>
      </c>
      <c r="I154" s="5" t="s">
        <v>3</v>
      </c>
      <c r="J154" s="5" t="s">
        <v>68</v>
      </c>
      <c r="K154" s="5" t="s">
        <v>27</v>
      </c>
      <c r="L154" s="7">
        <v>104800</v>
      </c>
      <c r="M154" s="6">
        <v>42638</v>
      </c>
      <c r="N154" s="6">
        <v>42796</v>
      </c>
      <c r="O154" s="8">
        <v>104800</v>
      </c>
      <c r="P154" s="8">
        <f>L154-O154</f>
        <v>0</v>
      </c>
      <c r="Q154" s="8" t="str">
        <f>IF(P154=0,"Pago","Não Pago")</f>
        <v>Pago</v>
      </c>
      <c r="R154" s="5" t="s">
        <v>8</v>
      </c>
      <c r="S154" s="5" t="s">
        <v>84</v>
      </c>
    </row>
    <row r="155" spans="1:19" x14ac:dyDescent="0.2">
      <c r="A155" s="5" t="s">
        <v>0</v>
      </c>
      <c r="B155" s="5">
        <v>587340</v>
      </c>
      <c r="C155" s="6">
        <v>42644</v>
      </c>
      <c r="D155" s="6">
        <v>42644</v>
      </c>
      <c r="E155" s="5" t="s">
        <v>65</v>
      </c>
      <c r="G155" s="5" t="s">
        <v>82</v>
      </c>
      <c r="H155" s="5" t="s">
        <v>67</v>
      </c>
      <c r="I155" s="5" t="s">
        <v>3</v>
      </c>
      <c r="J155" s="5" t="s">
        <v>68</v>
      </c>
      <c r="K155" s="5" t="s">
        <v>27</v>
      </c>
      <c r="L155" s="7">
        <v>136800</v>
      </c>
      <c r="M155" s="6">
        <v>42648</v>
      </c>
      <c r="N155" s="6">
        <v>42825</v>
      </c>
      <c r="O155" s="8">
        <v>136800</v>
      </c>
      <c r="P155" s="8">
        <f>L155-O155</f>
        <v>0</v>
      </c>
      <c r="Q155" s="8" t="str">
        <f>IF(P155=0,"Pago","Não Pago")</f>
        <v>Pago</v>
      </c>
      <c r="R155" s="5" t="s">
        <v>8</v>
      </c>
      <c r="S155" s="5" t="s">
        <v>83</v>
      </c>
    </row>
    <row r="156" spans="1:19" x14ac:dyDescent="0.2">
      <c r="A156" s="5" t="s">
        <v>0</v>
      </c>
      <c r="B156" s="5">
        <v>587342</v>
      </c>
      <c r="C156" s="6">
        <v>42644</v>
      </c>
      <c r="D156" s="6">
        <v>42644</v>
      </c>
      <c r="E156" s="5" t="s">
        <v>65</v>
      </c>
      <c r="G156" s="5" t="s">
        <v>82</v>
      </c>
      <c r="H156" s="5" t="s">
        <v>67</v>
      </c>
      <c r="I156" s="5" t="s">
        <v>3</v>
      </c>
      <c r="J156" s="5" t="s">
        <v>68</v>
      </c>
      <c r="K156" s="5" t="s">
        <v>27</v>
      </c>
      <c r="L156" s="7">
        <v>51880</v>
      </c>
      <c r="M156" s="6">
        <v>42648</v>
      </c>
      <c r="N156" s="6">
        <v>42837</v>
      </c>
      <c r="O156" s="8">
        <v>51880</v>
      </c>
      <c r="P156" s="8">
        <f>L156-O156</f>
        <v>0</v>
      </c>
      <c r="Q156" s="8" t="str">
        <f>IF(P156=0,"Pago","Não Pago")</f>
        <v>Pago</v>
      </c>
      <c r="R156" s="5" t="s">
        <v>8</v>
      </c>
      <c r="S156" s="5" t="s">
        <v>84</v>
      </c>
    </row>
    <row r="157" spans="1:19" x14ac:dyDescent="0.2">
      <c r="A157" s="5" t="s">
        <v>0</v>
      </c>
      <c r="B157" s="5">
        <v>587338</v>
      </c>
      <c r="C157" s="6">
        <v>42644</v>
      </c>
      <c r="D157" s="6">
        <v>42644</v>
      </c>
      <c r="E157" s="5" t="s">
        <v>65</v>
      </c>
      <c r="G157" s="5" t="s">
        <v>82</v>
      </c>
      <c r="H157" s="5" t="s">
        <v>67</v>
      </c>
      <c r="I157" s="5" t="s">
        <v>3</v>
      </c>
      <c r="J157" s="5" t="s">
        <v>68</v>
      </c>
      <c r="K157" s="5" t="s">
        <v>27</v>
      </c>
      <c r="L157" s="7">
        <v>967120</v>
      </c>
      <c r="M157" s="6">
        <v>42658</v>
      </c>
      <c r="N157" s="6">
        <v>42907</v>
      </c>
      <c r="O157" s="8">
        <v>967120</v>
      </c>
      <c r="P157" s="8">
        <f>L157-O157</f>
        <v>0</v>
      </c>
      <c r="Q157" s="8" t="str">
        <f>IF(P157=0,"Pago","Não Pago")</f>
        <v>Pago</v>
      </c>
      <c r="R157" s="5" t="s">
        <v>8</v>
      </c>
      <c r="S157" s="5" t="s">
        <v>85</v>
      </c>
    </row>
    <row r="158" spans="1:19" x14ac:dyDescent="0.2">
      <c r="A158" s="5" t="s">
        <v>0</v>
      </c>
      <c r="B158" s="5">
        <v>587339</v>
      </c>
      <c r="C158" s="6">
        <v>42675</v>
      </c>
      <c r="D158" s="6">
        <v>42675</v>
      </c>
      <c r="E158" s="5" t="s">
        <v>65</v>
      </c>
      <c r="G158" s="5" t="s">
        <v>82</v>
      </c>
      <c r="H158" s="5" t="s">
        <v>67</v>
      </c>
      <c r="I158" s="5" t="s">
        <v>3</v>
      </c>
      <c r="J158" s="5" t="s">
        <v>68</v>
      </c>
      <c r="K158" s="5" t="s">
        <v>27</v>
      </c>
      <c r="L158" s="7">
        <v>1562112</v>
      </c>
      <c r="M158" s="6">
        <v>42679</v>
      </c>
      <c r="N158" s="6">
        <v>42991</v>
      </c>
      <c r="O158" s="8">
        <v>1562112</v>
      </c>
      <c r="P158" s="8">
        <f>L158-O158</f>
        <v>0</v>
      </c>
      <c r="Q158" s="8" t="str">
        <f>IF(P158=0,"Pago","Não Pago")</f>
        <v>Pago</v>
      </c>
      <c r="R158" s="5" t="s">
        <v>8</v>
      </c>
      <c r="S158" s="5" t="s">
        <v>85</v>
      </c>
    </row>
    <row r="159" spans="1:19" x14ac:dyDescent="0.2">
      <c r="A159" s="5" t="s">
        <v>0</v>
      </c>
      <c r="B159" s="5">
        <v>587341</v>
      </c>
      <c r="C159" s="6">
        <v>42675</v>
      </c>
      <c r="D159" s="6">
        <v>42675</v>
      </c>
      <c r="E159" s="5" t="s">
        <v>65</v>
      </c>
      <c r="G159" s="5" t="s">
        <v>82</v>
      </c>
      <c r="H159" s="5" t="s">
        <v>67</v>
      </c>
      <c r="I159" s="5" t="s">
        <v>3</v>
      </c>
      <c r="J159" s="5" t="s">
        <v>68</v>
      </c>
      <c r="K159" s="5" t="s">
        <v>27</v>
      </c>
      <c r="L159" s="7">
        <v>284032</v>
      </c>
      <c r="M159" s="6">
        <v>42679</v>
      </c>
      <c r="N159" s="6">
        <v>42997</v>
      </c>
      <c r="O159" s="8">
        <v>284032</v>
      </c>
      <c r="P159" s="8">
        <f>L159-O159</f>
        <v>0</v>
      </c>
      <c r="Q159" s="8" t="str">
        <f>IF(P159=0,"Pago","Não Pago")</f>
        <v>Pago</v>
      </c>
      <c r="R159" s="5" t="s">
        <v>8</v>
      </c>
      <c r="S159" s="5" t="s">
        <v>83</v>
      </c>
    </row>
    <row r="160" spans="1:19" x14ac:dyDescent="0.2">
      <c r="A160" s="5" t="s">
        <v>0</v>
      </c>
      <c r="B160" s="5">
        <v>601252</v>
      </c>
      <c r="C160" s="6">
        <v>42705</v>
      </c>
      <c r="D160" s="6">
        <v>42705</v>
      </c>
      <c r="E160" s="5" t="s">
        <v>65</v>
      </c>
      <c r="G160" s="5" t="s">
        <v>82</v>
      </c>
      <c r="H160" s="5" t="s">
        <v>67</v>
      </c>
      <c r="I160" s="5" t="s">
        <v>3</v>
      </c>
      <c r="J160" s="5" t="s">
        <v>68</v>
      </c>
      <c r="K160" s="5" t="s">
        <v>27</v>
      </c>
      <c r="L160" s="7">
        <v>1253504</v>
      </c>
      <c r="M160" s="6">
        <v>42709</v>
      </c>
      <c r="N160" s="6">
        <v>43068</v>
      </c>
      <c r="O160" s="8">
        <v>1253504</v>
      </c>
      <c r="P160" s="8">
        <f>L160-O160</f>
        <v>0</v>
      </c>
      <c r="Q160" s="8" t="str">
        <f>IF(P160=0,"Pago","Não Pago")</f>
        <v>Pago</v>
      </c>
      <c r="R160" s="5" t="s">
        <v>8</v>
      </c>
      <c r="S160" s="5" t="s">
        <v>85</v>
      </c>
    </row>
    <row r="161" spans="1:19" x14ac:dyDescent="0.2">
      <c r="A161" s="5" t="s">
        <v>0</v>
      </c>
      <c r="B161" s="5">
        <v>601253</v>
      </c>
      <c r="C161" s="6">
        <v>42705</v>
      </c>
      <c r="D161" s="6">
        <v>42705</v>
      </c>
      <c r="E161" s="5" t="s">
        <v>65</v>
      </c>
      <c r="G161" s="5" t="s">
        <v>82</v>
      </c>
      <c r="H161" s="5" t="s">
        <v>67</v>
      </c>
      <c r="I161" s="5" t="s">
        <v>3</v>
      </c>
      <c r="J161" s="5" t="s">
        <v>68</v>
      </c>
      <c r="K161" s="5" t="s">
        <v>27</v>
      </c>
      <c r="L161" s="7">
        <v>626112</v>
      </c>
      <c r="M161" s="6">
        <v>42709</v>
      </c>
      <c r="N161" s="6">
        <v>43153</v>
      </c>
      <c r="O161" s="8">
        <v>626112</v>
      </c>
      <c r="P161" s="8">
        <f>L161-O161</f>
        <v>0</v>
      </c>
      <c r="Q161" s="8" t="str">
        <f>IF(P161=0,"Pago","Não Pago")</f>
        <v>Pago</v>
      </c>
      <c r="R161" s="5" t="s">
        <v>8</v>
      </c>
      <c r="S161" s="5" t="s">
        <v>83</v>
      </c>
    </row>
    <row r="162" spans="1:19" x14ac:dyDescent="0.2">
      <c r="A162" s="5" t="s">
        <v>0</v>
      </c>
      <c r="B162" s="5">
        <v>606930</v>
      </c>
      <c r="C162" s="6">
        <v>42736</v>
      </c>
      <c r="D162" s="6">
        <v>42736</v>
      </c>
      <c r="E162" s="5" t="s">
        <v>65</v>
      </c>
      <c r="G162" s="5" t="s">
        <v>82</v>
      </c>
      <c r="H162" s="5" t="s">
        <v>67</v>
      </c>
      <c r="I162" s="5" t="s">
        <v>3</v>
      </c>
      <c r="J162" s="5" t="s">
        <v>68</v>
      </c>
      <c r="K162" s="5" t="s">
        <v>27</v>
      </c>
      <c r="L162" s="7">
        <v>1025904</v>
      </c>
      <c r="M162" s="6">
        <v>42740</v>
      </c>
      <c r="N162" s="6">
        <v>43203</v>
      </c>
      <c r="O162" s="8">
        <v>1025904</v>
      </c>
      <c r="P162" s="8">
        <f>L162-O162</f>
        <v>0</v>
      </c>
      <c r="Q162" s="8" t="str">
        <f>IF(P162=0,"Pago","Não Pago")</f>
        <v>Pago</v>
      </c>
      <c r="R162" s="5" t="s">
        <v>8</v>
      </c>
      <c r="S162" s="5" t="s">
        <v>85</v>
      </c>
    </row>
    <row r="163" spans="1:19" x14ac:dyDescent="0.2">
      <c r="A163" s="5" t="s">
        <v>0</v>
      </c>
      <c r="B163" s="5">
        <v>606934</v>
      </c>
      <c r="C163" s="6">
        <v>42767</v>
      </c>
      <c r="D163" s="6">
        <v>42767</v>
      </c>
      <c r="E163" s="5" t="s">
        <v>65</v>
      </c>
      <c r="G163" s="5" t="s">
        <v>82</v>
      </c>
      <c r="H163" s="5" t="s">
        <v>67</v>
      </c>
      <c r="I163" s="5" t="s">
        <v>3</v>
      </c>
      <c r="J163" s="5" t="s">
        <v>68</v>
      </c>
      <c r="K163" s="5" t="s">
        <v>27</v>
      </c>
      <c r="L163" s="7">
        <v>369024</v>
      </c>
      <c r="M163" s="6">
        <v>42771</v>
      </c>
      <c r="N163" s="6">
        <v>43326</v>
      </c>
      <c r="O163" s="8">
        <v>369024</v>
      </c>
      <c r="P163" s="8">
        <f>L163-O163</f>
        <v>0</v>
      </c>
      <c r="Q163" s="8" t="str">
        <f>IF(P163=0,"Pago","Não Pago")</f>
        <v>Pago</v>
      </c>
      <c r="R163" s="5" t="s">
        <v>8</v>
      </c>
      <c r="S163" s="5" t="s">
        <v>83</v>
      </c>
    </row>
    <row r="164" spans="1:19" x14ac:dyDescent="0.2">
      <c r="A164" s="5" t="s">
        <v>0</v>
      </c>
      <c r="B164" s="5">
        <v>606936</v>
      </c>
      <c r="C164" s="6">
        <v>42767</v>
      </c>
      <c r="D164" s="6">
        <v>42767</v>
      </c>
      <c r="E164" s="5" t="s">
        <v>65</v>
      </c>
      <c r="G164" s="5" t="s">
        <v>82</v>
      </c>
      <c r="H164" s="5" t="s">
        <v>67</v>
      </c>
      <c r="I164" s="5" t="s">
        <v>3</v>
      </c>
      <c r="J164" s="5" t="s">
        <v>68</v>
      </c>
      <c r="K164" s="5" t="s">
        <v>27</v>
      </c>
      <c r="L164" s="7">
        <v>122320</v>
      </c>
      <c r="M164" s="6">
        <v>42771</v>
      </c>
      <c r="N164" s="6">
        <v>43320</v>
      </c>
      <c r="O164" s="8">
        <v>122320</v>
      </c>
      <c r="P164" s="8">
        <f>L164-O164</f>
        <v>0</v>
      </c>
      <c r="Q164" s="8" t="str">
        <f>IF(P164=0,"Pago","Não Pago")</f>
        <v>Pago</v>
      </c>
      <c r="R164" s="5" t="s">
        <v>8</v>
      </c>
      <c r="S164" s="5" t="s">
        <v>84</v>
      </c>
    </row>
    <row r="165" spans="1:19" x14ac:dyDescent="0.2">
      <c r="A165" s="5" t="s">
        <v>0</v>
      </c>
      <c r="B165" s="5">
        <v>606935</v>
      </c>
      <c r="C165" s="6">
        <v>42795</v>
      </c>
      <c r="D165" s="6">
        <v>42795</v>
      </c>
      <c r="E165" s="5" t="s">
        <v>65</v>
      </c>
      <c r="G165" s="5" t="s">
        <v>82</v>
      </c>
      <c r="H165" s="5" t="s">
        <v>67</v>
      </c>
      <c r="I165" s="5" t="s">
        <v>3</v>
      </c>
      <c r="J165" s="5" t="s">
        <v>68</v>
      </c>
      <c r="K165" s="5" t="s">
        <v>27</v>
      </c>
      <c r="L165" s="7">
        <v>605312</v>
      </c>
      <c r="M165" s="6">
        <v>42799</v>
      </c>
      <c r="N165" s="6">
        <v>43382</v>
      </c>
      <c r="O165" s="8">
        <v>605312</v>
      </c>
      <c r="P165" s="8">
        <f>L165-O165</f>
        <v>0</v>
      </c>
      <c r="Q165" s="8" t="str">
        <f>IF(P165=0,"Pago","Não Pago")</f>
        <v>Pago</v>
      </c>
      <c r="R165" s="5" t="s">
        <v>8</v>
      </c>
      <c r="S165" s="5" t="s">
        <v>83</v>
      </c>
    </row>
    <row r="166" spans="1:19" x14ac:dyDescent="0.2">
      <c r="A166" s="5" t="s">
        <v>0</v>
      </c>
      <c r="B166" s="5">
        <v>626938</v>
      </c>
      <c r="C166" s="6">
        <v>42826</v>
      </c>
      <c r="D166" s="6">
        <v>42826</v>
      </c>
      <c r="E166" s="5" t="s">
        <v>65</v>
      </c>
      <c r="G166" s="5" t="s">
        <v>82</v>
      </c>
      <c r="H166" s="5" t="s">
        <v>67</v>
      </c>
      <c r="I166" s="5" t="s">
        <v>3</v>
      </c>
      <c r="J166" s="5" t="s">
        <v>68</v>
      </c>
      <c r="K166" s="5" t="s">
        <v>27</v>
      </c>
      <c r="L166" s="7">
        <v>2029440</v>
      </c>
      <c r="M166" s="6">
        <v>42830</v>
      </c>
      <c r="N166" s="6">
        <v>43756</v>
      </c>
      <c r="O166" s="8">
        <v>2029440</v>
      </c>
      <c r="P166" s="8">
        <f>L166-O166</f>
        <v>0</v>
      </c>
      <c r="Q166" s="8" t="str">
        <f>IF(P166=0,"Pago","Não Pago")</f>
        <v>Pago</v>
      </c>
      <c r="R166" s="5" t="s">
        <v>8</v>
      </c>
    </row>
    <row r="167" spans="1:19" x14ac:dyDescent="0.2">
      <c r="A167" s="5" t="s">
        <v>0</v>
      </c>
      <c r="B167" s="5">
        <v>626777</v>
      </c>
      <c r="C167" s="6">
        <v>42826</v>
      </c>
      <c r="D167" s="6">
        <v>42826</v>
      </c>
      <c r="E167" s="5" t="s">
        <v>65</v>
      </c>
      <c r="G167" s="5" t="s">
        <v>82</v>
      </c>
      <c r="H167" s="5" t="s">
        <v>67</v>
      </c>
      <c r="I167" s="5" t="s">
        <v>3</v>
      </c>
      <c r="J167" s="5" t="s">
        <v>68</v>
      </c>
      <c r="K167" s="5" t="s">
        <v>27</v>
      </c>
      <c r="L167" s="7">
        <v>1057728</v>
      </c>
      <c r="M167" s="6">
        <v>42830</v>
      </c>
      <c r="N167" s="6">
        <v>43423</v>
      </c>
      <c r="O167" s="8">
        <v>1057728</v>
      </c>
      <c r="P167" s="8">
        <f>L167-O167</f>
        <v>0</v>
      </c>
      <c r="Q167" s="8" t="str">
        <f>IF(P167=0,"Pago","Não Pago")</f>
        <v>Pago</v>
      </c>
      <c r="R167" s="5" t="s">
        <v>8</v>
      </c>
    </row>
    <row r="168" spans="1:19" x14ac:dyDescent="0.2">
      <c r="A168" s="5" t="s">
        <v>0</v>
      </c>
      <c r="B168" s="5">
        <v>626840</v>
      </c>
      <c r="C168" s="6">
        <v>42856</v>
      </c>
      <c r="D168" s="6">
        <v>42856</v>
      </c>
      <c r="E168" s="5" t="s">
        <v>65</v>
      </c>
      <c r="G168" s="5" t="s">
        <v>82</v>
      </c>
      <c r="H168" s="5" t="s">
        <v>67</v>
      </c>
      <c r="I168" s="5" t="s">
        <v>3</v>
      </c>
      <c r="J168" s="5" t="s">
        <v>68</v>
      </c>
      <c r="K168" s="5" t="s">
        <v>27</v>
      </c>
      <c r="L168" s="7">
        <v>76448</v>
      </c>
      <c r="M168" s="6">
        <v>42860</v>
      </c>
      <c r="N168" s="6">
        <v>43458</v>
      </c>
      <c r="O168" s="8">
        <v>76448</v>
      </c>
      <c r="P168" s="8">
        <f>L168-O168</f>
        <v>0</v>
      </c>
      <c r="Q168" s="8" t="str">
        <f>IF(P168=0,"Pago","Não Pago")</f>
        <v>Pago</v>
      </c>
      <c r="R168" s="5" t="s">
        <v>8</v>
      </c>
    </row>
    <row r="169" spans="1:19" x14ac:dyDescent="0.2">
      <c r="A169" s="5" t="s">
        <v>0</v>
      </c>
      <c r="B169" s="5">
        <v>614633</v>
      </c>
      <c r="C169" s="6">
        <v>42902</v>
      </c>
      <c r="D169" s="6">
        <v>42902</v>
      </c>
      <c r="E169" s="5" t="s">
        <v>65</v>
      </c>
      <c r="F169" s="5">
        <v>209889</v>
      </c>
      <c r="G169" s="5" t="s">
        <v>79</v>
      </c>
      <c r="H169" s="5" t="s">
        <v>67</v>
      </c>
      <c r="I169" s="5" t="s">
        <v>3</v>
      </c>
      <c r="J169" s="5" t="s">
        <v>68</v>
      </c>
      <c r="K169" s="5" t="s">
        <v>27</v>
      </c>
      <c r="L169" s="7">
        <v>6750</v>
      </c>
      <c r="M169" s="6">
        <v>42902</v>
      </c>
      <c r="N169" s="6">
        <v>42902</v>
      </c>
      <c r="O169" s="8">
        <v>6750</v>
      </c>
      <c r="P169" s="8">
        <f>L169-O169</f>
        <v>0</v>
      </c>
      <c r="Q169" s="8" t="str">
        <f>IF(P169=0,"Pago","Não Pago")</f>
        <v>Pago</v>
      </c>
      <c r="R169" s="5" t="s">
        <v>8</v>
      </c>
      <c r="S169" s="5" t="s">
        <v>86</v>
      </c>
    </row>
    <row r="170" spans="1:19" x14ac:dyDescent="0.2">
      <c r="A170" s="5" t="s">
        <v>0</v>
      </c>
      <c r="B170" s="5">
        <v>626784</v>
      </c>
      <c r="C170" s="6">
        <v>42948</v>
      </c>
      <c r="D170" s="6">
        <v>42948</v>
      </c>
      <c r="E170" s="5" t="s">
        <v>65</v>
      </c>
      <c r="G170" s="5" t="s">
        <v>82</v>
      </c>
      <c r="H170" s="5" t="s">
        <v>67</v>
      </c>
      <c r="I170" s="5" t="s">
        <v>3</v>
      </c>
      <c r="J170" s="5" t="s">
        <v>68</v>
      </c>
      <c r="K170" s="5" t="s">
        <v>27</v>
      </c>
      <c r="L170" s="7">
        <v>868608</v>
      </c>
      <c r="M170" s="6">
        <v>42952</v>
      </c>
      <c r="N170" s="6">
        <v>43518</v>
      </c>
      <c r="O170" s="8">
        <v>868608</v>
      </c>
      <c r="P170" s="8">
        <f>L170-O170</f>
        <v>0</v>
      </c>
      <c r="Q170" s="8" t="str">
        <f>IF(P170=0,"Pago","Não Pago")</f>
        <v>Pago</v>
      </c>
      <c r="R170" s="5" t="s">
        <v>8</v>
      </c>
    </row>
    <row r="171" spans="1:19" x14ac:dyDescent="0.2">
      <c r="A171" s="5" t="s">
        <v>0</v>
      </c>
      <c r="B171" s="5">
        <v>626795</v>
      </c>
      <c r="C171" s="6">
        <v>43040</v>
      </c>
      <c r="D171" s="6">
        <v>43040</v>
      </c>
      <c r="E171" s="5" t="s">
        <v>65</v>
      </c>
      <c r="G171" s="5" t="s">
        <v>82</v>
      </c>
      <c r="H171" s="5" t="s">
        <v>67</v>
      </c>
      <c r="I171" s="5" t="s">
        <v>3</v>
      </c>
      <c r="J171" s="5" t="s">
        <v>68</v>
      </c>
      <c r="K171" s="5" t="s">
        <v>27</v>
      </c>
      <c r="L171" s="7">
        <v>331152</v>
      </c>
      <c r="M171" s="6">
        <v>43044</v>
      </c>
      <c r="N171" s="6">
        <v>43537</v>
      </c>
      <c r="O171" s="8">
        <v>331152</v>
      </c>
      <c r="P171" s="8">
        <f>L171-O171</f>
        <v>0</v>
      </c>
      <c r="Q171" s="8" t="str">
        <f>IF(P171=0,"Pago","Não Pago")</f>
        <v>Pago</v>
      </c>
      <c r="R171" s="5" t="s">
        <v>8</v>
      </c>
    </row>
    <row r="172" spans="1:19" x14ac:dyDescent="0.2">
      <c r="A172" s="5" t="s">
        <v>0</v>
      </c>
      <c r="B172" s="5">
        <v>626792</v>
      </c>
      <c r="C172" s="6">
        <v>43040</v>
      </c>
      <c r="D172" s="6">
        <v>43040</v>
      </c>
      <c r="E172" s="5" t="s">
        <v>65</v>
      </c>
      <c r="G172" s="5" t="s">
        <v>82</v>
      </c>
      <c r="H172" s="5" t="s">
        <v>67</v>
      </c>
      <c r="I172" s="5" t="s">
        <v>3</v>
      </c>
      <c r="J172" s="5" t="s">
        <v>68</v>
      </c>
      <c r="K172" s="5" t="s">
        <v>27</v>
      </c>
      <c r="L172" s="7">
        <v>64976</v>
      </c>
      <c r="M172" s="6">
        <v>43044</v>
      </c>
      <c r="N172" s="6">
        <v>43535</v>
      </c>
      <c r="O172" s="8">
        <v>64976</v>
      </c>
      <c r="P172" s="8">
        <f>L172-O172</f>
        <v>0</v>
      </c>
      <c r="Q172" s="8" t="str">
        <f>IF(P172=0,"Pago","Não Pago")</f>
        <v>Pago</v>
      </c>
      <c r="R172" s="5" t="s">
        <v>8</v>
      </c>
    </row>
    <row r="173" spans="1:19" x14ac:dyDescent="0.2">
      <c r="A173" s="5" t="s">
        <v>0</v>
      </c>
      <c r="B173" s="5">
        <v>687821</v>
      </c>
      <c r="C173" s="6">
        <v>43774</v>
      </c>
      <c r="D173" s="6">
        <v>43774</v>
      </c>
      <c r="E173" s="5" t="s">
        <v>65</v>
      </c>
      <c r="G173" s="5" t="s">
        <v>82</v>
      </c>
      <c r="H173" s="5" t="s">
        <v>2</v>
      </c>
      <c r="I173" s="5" t="s">
        <v>3</v>
      </c>
      <c r="J173" s="5" t="s">
        <v>7</v>
      </c>
      <c r="K173" s="5" t="s">
        <v>27</v>
      </c>
      <c r="L173" s="7">
        <v>33708</v>
      </c>
      <c r="M173" s="6">
        <v>43794</v>
      </c>
      <c r="N173" s="6">
        <v>43802</v>
      </c>
      <c r="O173" s="8">
        <v>33708</v>
      </c>
      <c r="P173" s="8">
        <f>L173-O173</f>
        <v>0</v>
      </c>
      <c r="Q173" s="8" t="str">
        <f>IF(P173=0,"Pago","Não Pago")</f>
        <v>Pago</v>
      </c>
      <c r="R173" s="5" t="s">
        <v>8</v>
      </c>
    </row>
    <row r="174" spans="1:19" x14ac:dyDescent="0.2">
      <c r="A174" s="5" t="s">
        <v>0</v>
      </c>
      <c r="B174" s="5">
        <v>687822</v>
      </c>
      <c r="C174" s="6">
        <v>43774</v>
      </c>
      <c r="D174" s="6">
        <v>43774</v>
      </c>
      <c r="E174" s="5" t="s">
        <v>65</v>
      </c>
      <c r="G174" s="5" t="s">
        <v>82</v>
      </c>
      <c r="H174" s="5" t="s">
        <v>2</v>
      </c>
      <c r="I174" s="5" t="s">
        <v>3</v>
      </c>
      <c r="J174" s="5" t="s">
        <v>7</v>
      </c>
      <c r="K174" s="5" t="s">
        <v>27</v>
      </c>
      <c r="L174" s="7">
        <v>7947</v>
      </c>
      <c r="M174" s="6">
        <v>43794</v>
      </c>
      <c r="N174" s="6">
        <v>43802</v>
      </c>
      <c r="O174" s="8">
        <v>7947</v>
      </c>
      <c r="P174" s="8">
        <f>L174-O174</f>
        <v>0</v>
      </c>
      <c r="Q174" s="8" t="str">
        <f>IF(P174=0,"Pago","Não Pago")</f>
        <v>Pago</v>
      </c>
      <c r="R174" s="5" t="s">
        <v>8</v>
      </c>
    </row>
    <row r="175" spans="1:19" x14ac:dyDescent="0.2">
      <c r="A175" s="5" t="s">
        <v>0</v>
      </c>
      <c r="B175" s="5">
        <v>692810</v>
      </c>
      <c r="C175" s="6">
        <v>43802</v>
      </c>
      <c r="D175" s="6">
        <v>43802</v>
      </c>
      <c r="E175" s="5" t="s">
        <v>65</v>
      </c>
      <c r="G175" s="5" t="s">
        <v>82</v>
      </c>
      <c r="H175" s="5" t="s">
        <v>2</v>
      </c>
      <c r="I175" s="5" t="s">
        <v>3</v>
      </c>
      <c r="J175" s="5" t="s">
        <v>7</v>
      </c>
      <c r="K175" s="5" t="s">
        <v>27</v>
      </c>
      <c r="L175" s="7">
        <v>96066</v>
      </c>
      <c r="M175" s="6">
        <v>43824</v>
      </c>
      <c r="N175" s="6">
        <v>43802</v>
      </c>
      <c r="O175" s="8">
        <v>96066</v>
      </c>
      <c r="P175" s="8">
        <f>L175-O175</f>
        <v>0</v>
      </c>
      <c r="Q175" s="8" t="str">
        <f>IF(P175=0,"Pago","Não Pago")</f>
        <v>Pago</v>
      </c>
      <c r="R175" s="5" t="s">
        <v>8</v>
      </c>
    </row>
    <row r="176" spans="1:19" x14ac:dyDescent="0.2">
      <c r="A176" s="5" t="s">
        <v>0</v>
      </c>
      <c r="B176" s="5">
        <v>699553</v>
      </c>
      <c r="C176" s="6">
        <v>43832</v>
      </c>
      <c r="D176" s="6">
        <v>43832</v>
      </c>
      <c r="E176" s="5" t="s">
        <v>65</v>
      </c>
      <c r="G176" s="5" t="s">
        <v>82</v>
      </c>
      <c r="H176" s="5" t="s">
        <v>2</v>
      </c>
      <c r="I176" s="5" t="s">
        <v>3</v>
      </c>
      <c r="J176" s="5" t="s">
        <v>7</v>
      </c>
      <c r="K176" s="5" t="s">
        <v>27</v>
      </c>
      <c r="L176" s="7">
        <v>9952</v>
      </c>
      <c r="M176" s="6">
        <v>43855</v>
      </c>
      <c r="N176" s="6">
        <v>43871</v>
      </c>
      <c r="O176" s="8">
        <v>9952</v>
      </c>
      <c r="P176" s="8">
        <f>L176-O176</f>
        <v>0</v>
      </c>
      <c r="Q176" s="8" t="str">
        <f>IF(P176=0,"Pago","Não Pago")</f>
        <v>Pago</v>
      </c>
      <c r="R176" s="5" t="s">
        <v>8</v>
      </c>
    </row>
    <row r="177" spans="1:19" x14ac:dyDescent="0.2">
      <c r="A177" s="5" t="s">
        <v>0</v>
      </c>
      <c r="B177" s="5">
        <v>699544</v>
      </c>
      <c r="C177" s="6">
        <v>43832</v>
      </c>
      <c r="D177" s="6">
        <v>43832</v>
      </c>
      <c r="E177" s="5" t="s">
        <v>65</v>
      </c>
      <c r="G177" s="5" t="s">
        <v>82</v>
      </c>
      <c r="H177" s="5" t="s">
        <v>2</v>
      </c>
      <c r="I177" s="5" t="s">
        <v>3</v>
      </c>
      <c r="J177" s="5" t="s">
        <v>7</v>
      </c>
      <c r="K177" s="5" t="s">
        <v>27</v>
      </c>
      <c r="L177" s="7">
        <v>9485</v>
      </c>
      <c r="M177" s="6">
        <v>43855</v>
      </c>
      <c r="N177" s="6">
        <v>43871</v>
      </c>
      <c r="O177" s="8">
        <v>9485</v>
      </c>
      <c r="P177" s="8">
        <f>L177-O177</f>
        <v>0</v>
      </c>
      <c r="Q177" s="8" t="str">
        <f>IF(P177=0,"Pago","Não Pago")</f>
        <v>Pago</v>
      </c>
      <c r="R177" s="5" t="s">
        <v>8</v>
      </c>
    </row>
    <row r="178" spans="1:19" x14ac:dyDescent="0.2">
      <c r="A178" s="5" t="s">
        <v>0</v>
      </c>
      <c r="B178" s="5">
        <v>719585</v>
      </c>
      <c r="C178" s="6">
        <v>44012</v>
      </c>
      <c r="D178" s="6">
        <v>44012</v>
      </c>
      <c r="E178" s="5" t="s">
        <v>1</v>
      </c>
      <c r="F178" s="5">
        <v>13906</v>
      </c>
      <c r="G178" s="5" t="s">
        <v>5</v>
      </c>
      <c r="H178" s="5" t="s">
        <v>2</v>
      </c>
      <c r="I178" s="5" t="s">
        <v>3</v>
      </c>
      <c r="J178" s="5" t="s">
        <v>6</v>
      </c>
      <c r="K178" s="5" t="s">
        <v>27</v>
      </c>
      <c r="L178" s="7">
        <v>100000</v>
      </c>
      <c r="M178" s="6">
        <v>44017</v>
      </c>
      <c r="N178" s="6">
        <v>44012</v>
      </c>
      <c r="O178" s="8">
        <v>100000</v>
      </c>
      <c r="P178" s="8">
        <f>L178-O178</f>
        <v>0</v>
      </c>
      <c r="Q178" s="8" t="str">
        <f>IF(P178=0,"Pago","Não Pago")</f>
        <v>Pago</v>
      </c>
      <c r="R178" s="5" t="s">
        <v>8</v>
      </c>
      <c r="S178" s="5" t="s">
        <v>28</v>
      </c>
    </row>
    <row r="179" spans="1:19" x14ac:dyDescent="0.2">
      <c r="A179" s="5" t="s">
        <v>0</v>
      </c>
      <c r="B179" s="5">
        <v>731255</v>
      </c>
      <c r="C179" s="6">
        <v>44104</v>
      </c>
      <c r="D179" s="6">
        <v>44104</v>
      </c>
      <c r="E179" s="5" t="s">
        <v>1</v>
      </c>
      <c r="F179" s="5">
        <v>17973</v>
      </c>
      <c r="G179" s="5" t="s">
        <v>5</v>
      </c>
      <c r="H179" s="5" t="s">
        <v>2</v>
      </c>
      <c r="I179" s="5" t="s">
        <v>3</v>
      </c>
      <c r="J179" s="5" t="s">
        <v>6</v>
      </c>
      <c r="K179" s="5" t="s">
        <v>27</v>
      </c>
      <c r="L179" s="7">
        <v>80000</v>
      </c>
      <c r="M179" s="6">
        <v>44104</v>
      </c>
      <c r="N179" s="6">
        <v>44104</v>
      </c>
      <c r="O179" s="8">
        <v>80000</v>
      </c>
      <c r="P179" s="8">
        <f>L179-O179</f>
        <v>0</v>
      </c>
      <c r="Q179" s="8" t="str">
        <f>IF(P179=0,"Pago","Não Pago")</f>
        <v>Pago</v>
      </c>
      <c r="R179" s="5" t="s">
        <v>8</v>
      </c>
      <c r="S179" s="5" t="s">
        <v>29</v>
      </c>
    </row>
    <row r="180" spans="1:19" x14ac:dyDescent="0.2">
      <c r="A180" s="5" t="s">
        <v>0</v>
      </c>
      <c r="B180" s="5">
        <v>740021</v>
      </c>
      <c r="C180" s="6">
        <v>44153</v>
      </c>
      <c r="D180" s="6">
        <v>44153</v>
      </c>
      <c r="E180" s="5" t="s">
        <v>1</v>
      </c>
      <c r="F180" s="5">
        <v>21607</v>
      </c>
      <c r="G180" s="5" t="s">
        <v>5</v>
      </c>
      <c r="H180" s="5" t="s">
        <v>2</v>
      </c>
      <c r="I180" s="5" t="s">
        <v>3</v>
      </c>
      <c r="J180" s="5" t="s">
        <v>6</v>
      </c>
      <c r="K180" s="5" t="s">
        <v>27</v>
      </c>
      <c r="L180" s="7">
        <v>100000</v>
      </c>
      <c r="M180" s="6">
        <v>44160</v>
      </c>
      <c r="N180" s="6">
        <v>44153</v>
      </c>
      <c r="O180" s="8">
        <v>100000</v>
      </c>
      <c r="P180" s="8">
        <f>L180-O180</f>
        <v>0</v>
      </c>
      <c r="Q180" s="8" t="str">
        <f>IF(P180=0,"Pago","Não Pago")</f>
        <v>Pago</v>
      </c>
      <c r="R180" s="5" t="s">
        <v>8</v>
      </c>
      <c r="S180" s="5" t="s">
        <v>30</v>
      </c>
    </row>
    <row r="181" spans="1:19" x14ac:dyDescent="0.2">
      <c r="A181" s="5" t="s">
        <v>0</v>
      </c>
      <c r="B181" s="5">
        <v>762894</v>
      </c>
      <c r="C181" s="6">
        <v>44287</v>
      </c>
      <c r="D181" s="6">
        <v>44287</v>
      </c>
      <c r="E181" s="5" t="s">
        <v>65</v>
      </c>
      <c r="G181" s="5" t="s">
        <v>82</v>
      </c>
      <c r="H181" s="5" t="s">
        <v>2</v>
      </c>
      <c r="I181" s="5" t="s">
        <v>3</v>
      </c>
      <c r="J181" s="5" t="s">
        <v>6</v>
      </c>
      <c r="K181" s="5" t="s">
        <v>27</v>
      </c>
      <c r="L181" s="7">
        <v>278121</v>
      </c>
      <c r="M181" s="6">
        <v>44311</v>
      </c>
      <c r="N181" s="6">
        <v>44287</v>
      </c>
      <c r="P181" s="8">
        <f>L181-O181</f>
        <v>278121</v>
      </c>
      <c r="Q181" s="8" t="str">
        <f t="shared" ref="Q132:Q195" si="0">IF(P181=0,"Pago","Não Pago")</f>
        <v>Não Pago</v>
      </c>
      <c r="S181" s="5" t="s">
        <v>94</v>
      </c>
    </row>
    <row r="182" spans="1:19" x14ac:dyDescent="0.2">
      <c r="A182" s="5" t="s">
        <v>0</v>
      </c>
      <c r="B182" s="5">
        <v>754876</v>
      </c>
      <c r="C182" s="6">
        <v>44238</v>
      </c>
      <c r="D182" s="6">
        <v>44238</v>
      </c>
      <c r="E182" s="5" t="s">
        <v>65</v>
      </c>
      <c r="G182" s="5" t="s">
        <v>82</v>
      </c>
      <c r="H182" s="5" t="s">
        <v>2</v>
      </c>
      <c r="I182" s="5" t="s">
        <v>3</v>
      </c>
      <c r="J182" s="5" t="s">
        <v>6</v>
      </c>
      <c r="K182" s="5" t="s">
        <v>27</v>
      </c>
      <c r="L182" s="7">
        <v>228362.15</v>
      </c>
      <c r="M182" s="6">
        <v>44252</v>
      </c>
      <c r="N182" s="6">
        <v>44238</v>
      </c>
      <c r="P182" s="8">
        <f>L182-O182</f>
        <v>228362.15</v>
      </c>
      <c r="Q182" s="8" t="str">
        <f t="shared" si="0"/>
        <v>Não Pago</v>
      </c>
      <c r="S182" s="5" t="s">
        <v>92</v>
      </c>
    </row>
    <row r="183" spans="1:19" x14ac:dyDescent="0.2">
      <c r="A183" s="5" t="s">
        <v>0</v>
      </c>
      <c r="B183" s="5">
        <v>645971</v>
      </c>
      <c r="C183" s="6">
        <v>43346</v>
      </c>
      <c r="D183" s="6">
        <v>43346</v>
      </c>
      <c r="E183" s="5" t="s">
        <v>65</v>
      </c>
      <c r="G183" s="5" t="s">
        <v>82</v>
      </c>
      <c r="H183" s="5" t="s">
        <v>67</v>
      </c>
      <c r="I183" s="5" t="s">
        <v>3</v>
      </c>
      <c r="J183" s="5" t="s">
        <v>68</v>
      </c>
      <c r="K183" s="5" t="s">
        <v>27</v>
      </c>
      <c r="L183" s="7">
        <v>198260</v>
      </c>
      <c r="M183" s="6">
        <v>43368</v>
      </c>
      <c r="N183" s="6">
        <v>43346</v>
      </c>
      <c r="P183" s="8">
        <f>L183-O183</f>
        <v>198260</v>
      </c>
      <c r="Q183" s="8" t="str">
        <f t="shared" si="0"/>
        <v>Não Pago</v>
      </c>
    </row>
    <row r="184" spans="1:19" x14ac:dyDescent="0.2">
      <c r="A184" s="5" t="s">
        <v>0</v>
      </c>
      <c r="B184" s="5">
        <v>643491</v>
      </c>
      <c r="C184" s="6">
        <v>43313</v>
      </c>
      <c r="D184" s="6">
        <v>43313</v>
      </c>
      <c r="E184" s="5" t="s">
        <v>65</v>
      </c>
      <c r="G184" s="5" t="s">
        <v>82</v>
      </c>
      <c r="H184" s="5" t="s">
        <v>67</v>
      </c>
      <c r="I184" s="5" t="s">
        <v>3</v>
      </c>
      <c r="J184" s="5" t="s">
        <v>68</v>
      </c>
      <c r="K184" s="5" t="s">
        <v>27</v>
      </c>
      <c r="L184" s="7">
        <v>188730</v>
      </c>
      <c r="M184" s="6">
        <v>43337</v>
      </c>
      <c r="N184" s="6">
        <v>43313</v>
      </c>
      <c r="P184" s="8">
        <f>L184-O184</f>
        <v>188730</v>
      </c>
      <c r="Q184" s="8" t="str">
        <f t="shared" si="0"/>
        <v>Não Pago</v>
      </c>
    </row>
    <row r="185" spans="1:19" x14ac:dyDescent="0.2">
      <c r="A185" s="5" t="s">
        <v>0</v>
      </c>
      <c r="B185" s="5">
        <v>769409</v>
      </c>
      <c r="C185" s="6">
        <v>44317</v>
      </c>
      <c r="D185" s="6">
        <v>44317</v>
      </c>
      <c r="E185" s="5" t="s">
        <v>65</v>
      </c>
      <c r="G185" s="5" t="s">
        <v>82</v>
      </c>
      <c r="H185" s="5" t="s">
        <v>2</v>
      </c>
      <c r="I185" s="5" t="s">
        <v>3</v>
      </c>
      <c r="J185" s="5" t="s">
        <v>6</v>
      </c>
      <c r="K185" s="5" t="s">
        <v>27</v>
      </c>
      <c r="L185" s="7">
        <v>182953.2</v>
      </c>
      <c r="M185" s="6">
        <v>44341</v>
      </c>
      <c r="N185" s="6">
        <v>44317</v>
      </c>
      <c r="P185" s="8">
        <f>L185-O185</f>
        <v>182953.2</v>
      </c>
      <c r="Q185" s="8" t="str">
        <f t="shared" si="0"/>
        <v>Não Pago</v>
      </c>
      <c r="S185" s="5" t="s">
        <v>95</v>
      </c>
    </row>
    <row r="186" spans="1:19" x14ac:dyDescent="0.2">
      <c r="A186" s="5" t="s">
        <v>0</v>
      </c>
      <c r="B186" s="5">
        <v>628964</v>
      </c>
      <c r="C186" s="6">
        <v>43137</v>
      </c>
      <c r="D186" s="6">
        <v>43137</v>
      </c>
      <c r="E186" s="5" t="s">
        <v>65</v>
      </c>
      <c r="G186" s="5" t="s">
        <v>82</v>
      </c>
      <c r="H186" s="5" t="s">
        <v>67</v>
      </c>
      <c r="I186" s="5" t="s">
        <v>3</v>
      </c>
      <c r="J186" s="5" t="s">
        <v>68</v>
      </c>
      <c r="K186" s="5" t="s">
        <v>27</v>
      </c>
      <c r="L186" s="7">
        <v>181764</v>
      </c>
      <c r="M186" s="6">
        <v>43156</v>
      </c>
      <c r="N186" s="6">
        <v>43137</v>
      </c>
      <c r="P186" s="8">
        <f>L186-O186</f>
        <v>181764</v>
      </c>
      <c r="Q186" s="8" t="str">
        <f t="shared" si="0"/>
        <v>Não Pago</v>
      </c>
    </row>
    <row r="187" spans="1:19" x14ac:dyDescent="0.2">
      <c r="A187" s="5" t="s">
        <v>0</v>
      </c>
      <c r="B187" s="5">
        <v>662760</v>
      </c>
      <c r="C187" s="6">
        <v>43525</v>
      </c>
      <c r="D187" s="6">
        <v>43525</v>
      </c>
      <c r="E187" s="5" t="s">
        <v>65</v>
      </c>
      <c r="G187" s="5" t="s">
        <v>82</v>
      </c>
      <c r="H187" s="5" t="s">
        <v>2</v>
      </c>
      <c r="I187" s="5" t="s">
        <v>3</v>
      </c>
      <c r="J187" s="5" t="s">
        <v>7</v>
      </c>
      <c r="K187" s="5" t="s">
        <v>27</v>
      </c>
      <c r="L187" s="7">
        <v>172880</v>
      </c>
      <c r="M187" s="6">
        <v>43549</v>
      </c>
      <c r="N187" s="6">
        <v>43525</v>
      </c>
      <c r="P187" s="8">
        <f>L187-O187</f>
        <v>172880</v>
      </c>
      <c r="Q187" s="8" t="str">
        <f t="shared" si="0"/>
        <v>Não Pago</v>
      </c>
    </row>
    <row r="188" spans="1:19" x14ac:dyDescent="0.2">
      <c r="A188" s="5" t="s">
        <v>0</v>
      </c>
      <c r="B188" s="5">
        <v>665616</v>
      </c>
      <c r="C188" s="6">
        <v>43556</v>
      </c>
      <c r="D188" s="6">
        <v>43556</v>
      </c>
      <c r="E188" s="5" t="s">
        <v>65</v>
      </c>
      <c r="G188" s="5" t="s">
        <v>82</v>
      </c>
      <c r="H188" s="5" t="s">
        <v>2</v>
      </c>
      <c r="I188" s="5" t="s">
        <v>3</v>
      </c>
      <c r="J188" s="5" t="s">
        <v>7</v>
      </c>
      <c r="K188" s="5" t="s">
        <v>27</v>
      </c>
      <c r="L188" s="7">
        <v>165840</v>
      </c>
      <c r="M188" s="6">
        <v>43580</v>
      </c>
      <c r="N188" s="6">
        <v>43556</v>
      </c>
      <c r="P188" s="8">
        <f>L188-O188</f>
        <v>165840</v>
      </c>
      <c r="Q188" s="8" t="str">
        <f t="shared" si="0"/>
        <v>Não Pago</v>
      </c>
    </row>
    <row r="189" spans="1:19" x14ac:dyDescent="0.2">
      <c r="A189" s="5" t="s">
        <v>0</v>
      </c>
      <c r="B189" s="5">
        <v>641113</v>
      </c>
      <c r="C189" s="6">
        <v>43284</v>
      </c>
      <c r="D189" s="6">
        <v>43284</v>
      </c>
      <c r="E189" s="5" t="s">
        <v>65</v>
      </c>
      <c r="G189" s="5" t="s">
        <v>82</v>
      </c>
      <c r="H189" s="5" t="s">
        <v>67</v>
      </c>
      <c r="I189" s="5" t="s">
        <v>3</v>
      </c>
      <c r="J189" s="5" t="s">
        <v>68</v>
      </c>
      <c r="K189" s="5" t="s">
        <v>27</v>
      </c>
      <c r="L189" s="7">
        <v>158830</v>
      </c>
      <c r="M189" s="6">
        <v>43306</v>
      </c>
      <c r="N189" s="6">
        <v>43284</v>
      </c>
      <c r="P189" s="8">
        <f>L189-O189</f>
        <v>158830</v>
      </c>
      <c r="Q189" s="8" t="str">
        <f t="shared" si="0"/>
        <v>Não Pago</v>
      </c>
    </row>
    <row r="190" spans="1:19" x14ac:dyDescent="0.2">
      <c r="A190" s="5" t="s">
        <v>0</v>
      </c>
      <c r="B190" s="5">
        <v>669475</v>
      </c>
      <c r="C190" s="6">
        <v>43587</v>
      </c>
      <c r="D190" s="6">
        <v>43587</v>
      </c>
      <c r="E190" s="5" t="s">
        <v>65</v>
      </c>
      <c r="G190" s="5" t="s">
        <v>82</v>
      </c>
      <c r="H190" s="5" t="s">
        <v>2</v>
      </c>
      <c r="I190" s="5" t="s">
        <v>3</v>
      </c>
      <c r="J190" s="5" t="s">
        <v>7</v>
      </c>
      <c r="K190" s="5" t="s">
        <v>27</v>
      </c>
      <c r="L190" s="7">
        <v>152520</v>
      </c>
      <c r="M190" s="6">
        <v>43610</v>
      </c>
      <c r="N190" s="6">
        <v>43587</v>
      </c>
      <c r="P190" s="8">
        <f>L190-O190</f>
        <v>152520</v>
      </c>
      <c r="Q190" s="8" t="str">
        <f t="shared" si="0"/>
        <v>Não Pago</v>
      </c>
    </row>
    <row r="191" spans="1:19" x14ac:dyDescent="0.2">
      <c r="A191" s="5" t="s">
        <v>0</v>
      </c>
      <c r="B191" s="5">
        <v>714430</v>
      </c>
      <c r="C191" s="6">
        <v>43952</v>
      </c>
      <c r="D191" s="6">
        <v>43952</v>
      </c>
      <c r="E191" s="5" t="s">
        <v>65</v>
      </c>
      <c r="G191" s="5" t="s">
        <v>82</v>
      </c>
      <c r="H191" s="5" t="s">
        <v>2</v>
      </c>
      <c r="I191" s="5" t="s">
        <v>3</v>
      </c>
      <c r="J191" s="5" t="s">
        <v>6</v>
      </c>
      <c r="K191" s="5" t="s">
        <v>27</v>
      </c>
      <c r="L191" s="7">
        <v>150936</v>
      </c>
      <c r="M191" s="6">
        <v>43976</v>
      </c>
      <c r="N191" s="6">
        <v>43952</v>
      </c>
      <c r="P191" s="8">
        <f>L191-O191</f>
        <v>150936</v>
      </c>
      <c r="Q191" s="8" t="str">
        <f t="shared" si="0"/>
        <v>Não Pago</v>
      </c>
    </row>
    <row r="192" spans="1:19" x14ac:dyDescent="0.2">
      <c r="A192" s="5" t="s">
        <v>0</v>
      </c>
      <c r="B192" s="5">
        <v>658077</v>
      </c>
      <c r="C192" s="6">
        <v>43500</v>
      </c>
      <c r="D192" s="6">
        <v>43500</v>
      </c>
      <c r="E192" s="5" t="s">
        <v>65</v>
      </c>
      <c r="G192" s="5" t="s">
        <v>82</v>
      </c>
      <c r="H192" s="5" t="s">
        <v>2</v>
      </c>
      <c r="I192" s="5" t="s">
        <v>3</v>
      </c>
      <c r="J192" s="5" t="s">
        <v>7</v>
      </c>
      <c r="K192" s="5" t="s">
        <v>27</v>
      </c>
      <c r="L192" s="7">
        <v>150360</v>
      </c>
      <c r="M192" s="6">
        <v>43521</v>
      </c>
      <c r="N192" s="6">
        <v>43500</v>
      </c>
      <c r="P192" s="8">
        <f>L192-O192</f>
        <v>150360</v>
      </c>
      <c r="Q192" s="8" t="str">
        <f t="shared" si="0"/>
        <v>Não Pago</v>
      </c>
    </row>
    <row r="193" spans="1:19" x14ac:dyDescent="0.2">
      <c r="A193" s="5" t="s">
        <v>0</v>
      </c>
      <c r="B193" s="5">
        <v>650761</v>
      </c>
      <c r="C193" s="6">
        <v>43405</v>
      </c>
      <c r="D193" s="6">
        <v>43405</v>
      </c>
      <c r="E193" s="5" t="s">
        <v>65</v>
      </c>
      <c r="G193" s="5" t="s">
        <v>82</v>
      </c>
      <c r="H193" s="5" t="s">
        <v>67</v>
      </c>
      <c r="I193" s="5" t="s">
        <v>3</v>
      </c>
      <c r="J193" s="5" t="s">
        <v>7</v>
      </c>
      <c r="K193" s="5" t="s">
        <v>27</v>
      </c>
      <c r="L193" s="7">
        <v>145620</v>
      </c>
      <c r="M193" s="6">
        <v>43429</v>
      </c>
      <c r="N193" s="6">
        <v>43405</v>
      </c>
      <c r="P193" s="8">
        <f>L193-O193</f>
        <v>145620</v>
      </c>
      <c r="Q193" s="8" t="str">
        <f t="shared" si="0"/>
        <v>Não Pago</v>
      </c>
    </row>
    <row r="194" spans="1:19" x14ac:dyDescent="0.2">
      <c r="A194" s="5" t="s">
        <v>0</v>
      </c>
      <c r="B194" s="5">
        <v>665618</v>
      </c>
      <c r="C194" s="6">
        <v>43556</v>
      </c>
      <c r="D194" s="6">
        <v>43556</v>
      </c>
      <c r="E194" s="5" t="s">
        <v>65</v>
      </c>
      <c r="G194" s="5" t="s">
        <v>82</v>
      </c>
      <c r="H194" s="5" t="s">
        <v>2</v>
      </c>
      <c r="I194" s="5" t="s">
        <v>3</v>
      </c>
      <c r="J194" s="5" t="s">
        <v>7</v>
      </c>
      <c r="K194" s="5" t="s">
        <v>27</v>
      </c>
      <c r="L194" s="7">
        <v>145376</v>
      </c>
      <c r="M194" s="6">
        <v>43580</v>
      </c>
      <c r="N194" s="6">
        <v>43556</v>
      </c>
      <c r="P194" s="8">
        <f>L194-O194</f>
        <v>145376</v>
      </c>
      <c r="Q194" s="8" t="str">
        <f t="shared" si="0"/>
        <v>Não Pago</v>
      </c>
    </row>
    <row r="195" spans="1:19" x14ac:dyDescent="0.2">
      <c r="A195" s="5" t="s">
        <v>0</v>
      </c>
      <c r="B195" s="5">
        <v>653116</v>
      </c>
      <c r="C195" s="6">
        <v>43437</v>
      </c>
      <c r="D195" s="6">
        <v>43437</v>
      </c>
      <c r="E195" s="5" t="s">
        <v>65</v>
      </c>
      <c r="G195" s="5" t="s">
        <v>82</v>
      </c>
      <c r="H195" s="5" t="s">
        <v>2</v>
      </c>
      <c r="I195" s="5" t="s">
        <v>3</v>
      </c>
      <c r="J195" s="5" t="s">
        <v>7</v>
      </c>
      <c r="K195" s="5" t="s">
        <v>27</v>
      </c>
      <c r="L195" s="7">
        <v>142850</v>
      </c>
      <c r="M195" s="6">
        <v>43459</v>
      </c>
      <c r="N195" s="6">
        <v>43437</v>
      </c>
      <c r="P195" s="8">
        <f>L195-O195</f>
        <v>142850</v>
      </c>
      <c r="Q195" s="8" t="str">
        <f t="shared" si="0"/>
        <v>Não Pago</v>
      </c>
    </row>
    <row r="196" spans="1:19" x14ac:dyDescent="0.2">
      <c r="A196" s="5" t="s">
        <v>0</v>
      </c>
      <c r="B196" s="5">
        <v>672539</v>
      </c>
      <c r="C196" s="6">
        <v>43619</v>
      </c>
      <c r="D196" s="6">
        <v>43619</v>
      </c>
      <c r="E196" s="5" t="s">
        <v>65</v>
      </c>
      <c r="G196" s="5" t="s">
        <v>82</v>
      </c>
      <c r="H196" s="5" t="s">
        <v>2</v>
      </c>
      <c r="I196" s="5" t="s">
        <v>3</v>
      </c>
      <c r="J196" s="5" t="s">
        <v>7</v>
      </c>
      <c r="K196" s="5" t="s">
        <v>27</v>
      </c>
      <c r="L196" s="7">
        <v>139920</v>
      </c>
      <c r="M196" s="6">
        <v>43641</v>
      </c>
      <c r="N196" s="6">
        <v>43619</v>
      </c>
      <c r="P196" s="8">
        <f>L196-O196</f>
        <v>139920</v>
      </c>
      <c r="Q196" s="8" t="str">
        <f t="shared" ref="Q196:Q259" si="1">IF(P196=0,"Pago","Não Pago")</f>
        <v>Não Pago</v>
      </c>
    </row>
    <row r="197" spans="1:19" x14ac:dyDescent="0.2">
      <c r="A197" s="5" t="s">
        <v>0</v>
      </c>
      <c r="B197" s="5">
        <v>655471</v>
      </c>
      <c r="C197" s="6">
        <v>43467</v>
      </c>
      <c r="D197" s="6">
        <v>43467</v>
      </c>
      <c r="E197" s="5" t="s">
        <v>65</v>
      </c>
      <c r="G197" s="5" t="s">
        <v>82</v>
      </c>
      <c r="H197" s="5" t="s">
        <v>2</v>
      </c>
      <c r="I197" s="5" t="s">
        <v>3</v>
      </c>
      <c r="J197" s="5" t="s">
        <v>7</v>
      </c>
      <c r="K197" s="5" t="s">
        <v>27</v>
      </c>
      <c r="L197" s="7">
        <v>137120</v>
      </c>
      <c r="M197" s="6">
        <v>43490</v>
      </c>
      <c r="N197" s="6">
        <v>43467</v>
      </c>
      <c r="P197" s="8">
        <f>L197-O197</f>
        <v>137120</v>
      </c>
      <c r="Q197" s="8" t="str">
        <f t="shared" si="1"/>
        <v>Não Pago</v>
      </c>
    </row>
    <row r="198" spans="1:19" x14ac:dyDescent="0.2">
      <c r="A198" s="5" t="s">
        <v>0</v>
      </c>
      <c r="B198" s="5">
        <v>662762</v>
      </c>
      <c r="C198" s="6">
        <v>43525</v>
      </c>
      <c r="D198" s="6">
        <v>43525</v>
      </c>
      <c r="E198" s="5" t="s">
        <v>65</v>
      </c>
      <c r="G198" s="5" t="s">
        <v>82</v>
      </c>
      <c r="H198" s="5" t="s">
        <v>2</v>
      </c>
      <c r="I198" s="5" t="s">
        <v>3</v>
      </c>
      <c r="J198" s="5" t="s">
        <v>7</v>
      </c>
      <c r="K198" s="5" t="s">
        <v>27</v>
      </c>
      <c r="L198" s="7">
        <v>134368</v>
      </c>
      <c r="M198" s="6">
        <v>43549</v>
      </c>
      <c r="N198" s="6">
        <v>43525</v>
      </c>
      <c r="P198" s="8">
        <f>L198-O198</f>
        <v>134368</v>
      </c>
      <c r="Q198" s="8" t="str">
        <f t="shared" si="1"/>
        <v>Não Pago</v>
      </c>
    </row>
    <row r="199" spans="1:19" x14ac:dyDescent="0.2">
      <c r="A199" s="5" t="s">
        <v>0</v>
      </c>
      <c r="B199" s="5">
        <v>677837</v>
      </c>
      <c r="C199" s="6">
        <v>43678</v>
      </c>
      <c r="D199" s="6">
        <v>43678</v>
      </c>
      <c r="E199" s="5" t="s">
        <v>65</v>
      </c>
      <c r="G199" s="5" t="s">
        <v>82</v>
      </c>
      <c r="H199" s="5" t="s">
        <v>2</v>
      </c>
      <c r="I199" s="5" t="s">
        <v>3</v>
      </c>
      <c r="J199" s="5" t="s">
        <v>7</v>
      </c>
      <c r="K199" s="5" t="s">
        <v>27</v>
      </c>
      <c r="L199" s="7">
        <v>132824</v>
      </c>
      <c r="M199" s="6">
        <v>43702</v>
      </c>
      <c r="N199" s="6">
        <v>43678</v>
      </c>
      <c r="P199" s="8">
        <f>L199-O199</f>
        <v>132824</v>
      </c>
      <c r="Q199" s="8" t="str">
        <f t="shared" si="1"/>
        <v>Não Pago</v>
      </c>
    </row>
    <row r="200" spans="1:19" x14ac:dyDescent="0.2">
      <c r="A200" s="5" t="s">
        <v>0</v>
      </c>
      <c r="B200" s="5">
        <v>655469</v>
      </c>
      <c r="C200" s="6">
        <v>43467</v>
      </c>
      <c r="D200" s="6">
        <v>43467</v>
      </c>
      <c r="E200" s="5" t="s">
        <v>65</v>
      </c>
      <c r="G200" s="5" t="s">
        <v>82</v>
      </c>
      <c r="H200" s="5" t="s">
        <v>2</v>
      </c>
      <c r="I200" s="5" t="s">
        <v>3</v>
      </c>
      <c r="J200" s="5" t="s">
        <v>7</v>
      </c>
      <c r="K200" s="5" t="s">
        <v>27</v>
      </c>
      <c r="L200" s="7">
        <v>129300</v>
      </c>
      <c r="M200" s="6">
        <v>43490</v>
      </c>
      <c r="N200" s="6">
        <v>43467</v>
      </c>
      <c r="P200" s="8">
        <f>L200-O200</f>
        <v>129300</v>
      </c>
      <c r="Q200" s="8" t="str">
        <f t="shared" si="1"/>
        <v>Não Pago</v>
      </c>
    </row>
    <row r="201" spans="1:19" x14ac:dyDescent="0.2">
      <c r="A201" s="5" t="s">
        <v>0</v>
      </c>
      <c r="B201" s="5">
        <v>658079</v>
      </c>
      <c r="C201" s="6">
        <v>43500</v>
      </c>
      <c r="D201" s="6">
        <v>43500</v>
      </c>
      <c r="E201" s="5" t="s">
        <v>65</v>
      </c>
      <c r="G201" s="5" t="s">
        <v>82</v>
      </c>
      <c r="H201" s="5" t="s">
        <v>2</v>
      </c>
      <c r="I201" s="5" t="s">
        <v>3</v>
      </c>
      <c r="J201" s="5" t="s">
        <v>7</v>
      </c>
      <c r="K201" s="5" t="s">
        <v>27</v>
      </c>
      <c r="L201" s="7">
        <v>125432</v>
      </c>
      <c r="M201" s="6">
        <v>43521</v>
      </c>
      <c r="N201" s="6">
        <v>43500</v>
      </c>
      <c r="P201" s="8">
        <f>L201-O201</f>
        <v>125432</v>
      </c>
      <c r="Q201" s="8" t="str">
        <f t="shared" si="1"/>
        <v>Não Pago</v>
      </c>
    </row>
    <row r="202" spans="1:19" x14ac:dyDescent="0.2">
      <c r="A202" s="5" t="s">
        <v>0</v>
      </c>
      <c r="B202" s="5">
        <v>681365</v>
      </c>
      <c r="C202" s="6">
        <v>43711</v>
      </c>
      <c r="D202" s="6">
        <v>43711</v>
      </c>
      <c r="E202" s="5" t="s">
        <v>65</v>
      </c>
      <c r="G202" s="5" t="s">
        <v>82</v>
      </c>
      <c r="H202" s="5" t="s">
        <v>2</v>
      </c>
      <c r="I202" s="5" t="s">
        <v>3</v>
      </c>
      <c r="J202" s="5" t="s">
        <v>7</v>
      </c>
      <c r="K202" s="5" t="s">
        <v>27</v>
      </c>
      <c r="L202" s="7">
        <v>123368</v>
      </c>
      <c r="M202" s="6">
        <v>43733</v>
      </c>
      <c r="N202" s="6">
        <v>43711</v>
      </c>
      <c r="P202" s="8">
        <f>L202-O202</f>
        <v>123368</v>
      </c>
      <c r="Q202" s="8" t="str">
        <f t="shared" si="1"/>
        <v>Não Pago</v>
      </c>
    </row>
    <row r="203" spans="1:19" x14ac:dyDescent="0.2">
      <c r="A203" s="5" t="s">
        <v>0</v>
      </c>
      <c r="B203" s="5">
        <v>650763</v>
      </c>
      <c r="C203" s="6">
        <v>43405</v>
      </c>
      <c r="D203" s="6">
        <v>43405</v>
      </c>
      <c r="E203" s="5" t="s">
        <v>65</v>
      </c>
      <c r="G203" s="5" t="s">
        <v>82</v>
      </c>
      <c r="H203" s="5" t="s">
        <v>67</v>
      </c>
      <c r="I203" s="5" t="s">
        <v>3</v>
      </c>
      <c r="J203" s="5" t="s">
        <v>7</v>
      </c>
      <c r="K203" s="5" t="s">
        <v>27</v>
      </c>
      <c r="L203" s="7">
        <v>119600</v>
      </c>
      <c r="M203" s="6">
        <v>43429</v>
      </c>
      <c r="N203" s="6">
        <v>43405</v>
      </c>
      <c r="P203" s="8">
        <f>L203-O203</f>
        <v>119600</v>
      </c>
      <c r="Q203" s="8" t="str">
        <f t="shared" si="1"/>
        <v>Não Pago</v>
      </c>
    </row>
    <row r="204" spans="1:19" x14ac:dyDescent="0.2">
      <c r="A204" s="5" t="s">
        <v>0</v>
      </c>
      <c r="B204" s="5">
        <v>653114</v>
      </c>
      <c r="C204" s="6">
        <v>43437</v>
      </c>
      <c r="D204" s="6">
        <v>43437</v>
      </c>
      <c r="E204" s="5" t="s">
        <v>65</v>
      </c>
      <c r="G204" s="5" t="s">
        <v>82</v>
      </c>
      <c r="H204" s="5" t="s">
        <v>2</v>
      </c>
      <c r="I204" s="5" t="s">
        <v>3</v>
      </c>
      <c r="J204" s="5" t="s">
        <v>7</v>
      </c>
      <c r="K204" s="5" t="s">
        <v>27</v>
      </c>
      <c r="L204" s="7">
        <v>119390</v>
      </c>
      <c r="M204" s="6">
        <v>43459</v>
      </c>
      <c r="N204" s="6">
        <v>43437</v>
      </c>
      <c r="P204" s="8">
        <f>L204-O204</f>
        <v>119390</v>
      </c>
      <c r="Q204" s="8" t="str">
        <f t="shared" si="1"/>
        <v>Não Pago</v>
      </c>
    </row>
    <row r="205" spans="1:19" x14ac:dyDescent="0.2">
      <c r="A205" s="5" t="s">
        <v>0</v>
      </c>
      <c r="B205" s="5">
        <v>760532</v>
      </c>
      <c r="C205" s="6">
        <v>44259</v>
      </c>
      <c r="D205" s="6">
        <v>44259</v>
      </c>
      <c r="E205" s="5" t="s">
        <v>65</v>
      </c>
      <c r="G205" s="5" t="s">
        <v>82</v>
      </c>
      <c r="H205" s="5" t="s">
        <v>2</v>
      </c>
      <c r="I205" s="5" t="s">
        <v>3</v>
      </c>
      <c r="J205" s="5" t="s">
        <v>6</v>
      </c>
      <c r="K205" s="5" t="s">
        <v>27</v>
      </c>
      <c r="L205" s="7">
        <v>114428.35</v>
      </c>
      <c r="M205" s="6">
        <v>44280</v>
      </c>
      <c r="N205" s="6">
        <v>44259</v>
      </c>
      <c r="P205" s="8">
        <f>L205-O205</f>
        <v>114428.35</v>
      </c>
      <c r="Q205" s="8" t="str">
        <f t="shared" si="1"/>
        <v>Não Pago</v>
      </c>
      <c r="S205" s="5" t="s">
        <v>93</v>
      </c>
    </row>
    <row r="206" spans="1:19" x14ac:dyDescent="0.2">
      <c r="A206" s="5" t="s">
        <v>0</v>
      </c>
      <c r="B206" s="5">
        <v>648450</v>
      </c>
      <c r="C206" s="6">
        <v>43376</v>
      </c>
      <c r="D206" s="6">
        <v>43376</v>
      </c>
      <c r="E206" s="5" t="s">
        <v>65</v>
      </c>
      <c r="G206" s="5" t="s">
        <v>82</v>
      </c>
      <c r="H206" s="5" t="s">
        <v>67</v>
      </c>
      <c r="I206" s="5" t="s">
        <v>3</v>
      </c>
      <c r="J206" s="5" t="s">
        <v>68</v>
      </c>
      <c r="K206" s="5" t="s">
        <v>27</v>
      </c>
      <c r="L206" s="7">
        <v>113440</v>
      </c>
      <c r="M206" s="6">
        <v>43398</v>
      </c>
      <c r="N206" s="6">
        <v>43376</v>
      </c>
      <c r="P206" s="8">
        <f>L206-O206</f>
        <v>113440</v>
      </c>
      <c r="Q206" s="8" t="str">
        <f t="shared" si="1"/>
        <v>Não Pago</v>
      </c>
    </row>
    <row r="207" spans="1:19" x14ac:dyDescent="0.2">
      <c r="A207" s="5" t="s">
        <v>0</v>
      </c>
      <c r="B207" s="5">
        <v>734062</v>
      </c>
      <c r="C207" s="6">
        <v>44110</v>
      </c>
      <c r="D207" s="6">
        <v>44110</v>
      </c>
      <c r="E207" s="5" t="s">
        <v>65</v>
      </c>
      <c r="G207" s="5" t="s">
        <v>82</v>
      </c>
      <c r="H207" s="5" t="s">
        <v>2</v>
      </c>
      <c r="I207" s="5" t="s">
        <v>3</v>
      </c>
      <c r="J207" s="5" t="s">
        <v>6</v>
      </c>
      <c r="K207" s="5" t="s">
        <v>27</v>
      </c>
      <c r="L207" s="7">
        <v>111675</v>
      </c>
      <c r="M207" s="6">
        <v>44129</v>
      </c>
      <c r="N207" s="6">
        <v>44110</v>
      </c>
      <c r="P207" s="8">
        <f>L207-O207</f>
        <v>111675</v>
      </c>
      <c r="Q207" s="8" t="str">
        <f t="shared" si="1"/>
        <v>Não Pago</v>
      </c>
    </row>
    <row r="208" spans="1:19" x14ac:dyDescent="0.2">
      <c r="A208" s="5" t="s">
        <v>0</v>
      </c>
      <c r="B208" s="5">
        <v>681364</v>
      </c>
      <c r="C208" s="6">
        <v>43711</v>
      </c>
      <c r="D208" s="6">
        <v>43711</v>
      </c>
      <c r="E208" s="5" t="s">
        <v>65</v>
      </c>
      <c r="G208" s="5" t="s">
        <v>82</v>
      </c>
      <c r="H208" s="5" t="s">
        <v>2</v>
      </c>
      <c r="I208" s="5" t="s">
        <v>3</v>
      </c>
      <c r="J208" s="5" t="s">
        <v>7</v>
      </c>
      <c r="K208" s="5" t="s">
        <v>27</v>
      </c>
      <c r="L208" s="7">
        <v>107112</v>
      </c>
      <c r="M208" s="6">
        <v>43733</v>
      </c>
      <c r="N208" s="6">
        <v>43711</v>
      </c>
      <c r="P208" s="8">
        <f>L208-O208</f>
        <v>107112</v>
      </c>
      <c r="Q208" s="8" t="str">
        <f t="shared" si="1"/>
        <v>Não Pago</v>
      </c>
    </row>
    <row r="209" spans="1:17" x14ac:dyDescent="0.2">
      <c r="A209" s="5" t="s">
        <v>0</v>
      </c>
      <c r="B209" s="5">
        <v>739800</v>
      </c>
      <c r="C209" s="6">
        <v>44145</v>
      </c>
      <c r="D209" s="6">
        <v>44145</v>
      </c>
      <c r="E209" s="5" t="s">
        <v>65</v>
      </c>
      <c r="G209" s="5" t="s">
        <v>82</v>
      </c>
      <c r="H209" s="5" t="s">
        <v>2</v>
      </c>
      <c r="I209" s="5" t="s">
        <v>3</v>
      </c>
      <c r="J209" s="5" t="s">
        <v>6</v>
      </c>
      <c r="K209" s="5" t="s">
        <v>27</v>
      </c>
      <c r="L209" s="7">
        <v>104460</v>
      </c>
      <c r="M209" s="6">
        <v>44160</v>
      </c>
      <c r="N209" s="6">
        <v>44145</v>
      </c>
      <c r="P209" s="8">
        <f>L209-O209</f>
        <v>104460</v>
      </c>
      <c r="Q209" s="8" t="str">
        <f t="shared" si="1"/>
        <v>Não Pago</v>
      </c>
    </row>
    <row r="210" spans="1:17" x14ac:dyDescent="0.2">
      <c r="A210" s="5" t="s">
        <v>0</v>
      </c>
      <c r="B210" s="5">
        <v>710833</v>
      </c>
      <c r="C210" s="6">
        <v>43923</v>
      </c>
      <c r="D210" s="6">
        <v>43923</v>
      </c>
      <c r="E210" s="5" t="s">
        <v>65</v>
      </c>
      <c r="G210" s="5" t="s">
        <v>82</v>
      </c>
      <c r="H210" s="5" t="s">
        <v>2</v>
      </c>
      <c r="I210" s="5" t="s">
        <v>3</v>
      </c>
      <c r="J210" s="5" t="s">
        <v>6</v>
      </c>
      <c r="K210" s="5" t="s">
        <v>27</v>
      </c>
      <c r="L210" s="7">
        <v>103680</v>
      </c>
      <c r="M210" s="6">
        <v>43946</v>
      </c>
      <c r="N210" s="6">
        <v>43923</v>
      </c>
      <c r="P210" s="8">
        <f>L210-O210</f>
        <v>103680</v>
      </c>
      <c r="Q210" s="8" t="str">
        <f t="shared" si="1"/>
        <v>Não Pago</v>
      </c>
    </row>
    <row r="211" spans="1:17" x14ac:dyDescent="0.2">
      <c r="A211" s="5" t="s">
        <v>0</v>
      </c>
      <c r="B211" s="5">
        <v>677836</v>
      </c>
      <c r="C211" s="6">
        <v>43678</v>
      </c>
      <c r="D211" s="6">
        <v>43678</v>
      </c>
      <c r="E211" s="5" t="s">
        <v>65</v>
      </c>
      <c r="G211" s="5" t="s">
        <v>82</v>
      </c>
      <c r="H211" s="5" t="s">
        <v>2</v>
      </c>
      <c r="I211" s="5" t="s">
        <v>3</v>
      </c>
      <c r="J211" s="5" t="s">
        <v>7</v>
      </c>
      <c r="K211" s="5" t="s">
        <v>27</v>
      </c>
      <c r="L211" s="7">
        <v>103376</v>
      </c>
      <c r="M211" s="6">
        <v>43702</v>
      </c>
      <c r="N211" s="6">
        <v>43678</v>
      </c>
      <c r="P211" s="8">
        <f>L211-O211</f>
        <v>103376</v>
      </c>
      <c r="Q211" s="8" t="str">
        <f t="shared" si="1"/>
        <v>Não Pago</v>
      </c>
    </row>
    <row r="212" spans="1:17" x14ac:dyDescent="0.2">
      <c r="A212" s="5" t="s">
        <v>0</v>
      </c>
      <c r="B212" s="5">
        <v>707122</v>
      </c>
      <c r="C212" s="6">
        <v>43892</v>
      </c>
      <c r="D212" s="6">
        <v>43892</v>
      </c>
      <c r="E212" s="5" t="s">
        <v>65</v>
      </c>
      <c r="G212" s="5" t="s">
        <v>82</v>
      </c>
      <c r="H212" s="5" t="s">
        <v>2</v>
      </c>
      <c r="I212" s="5" t="s">
        <v>3</v>
      </c>
      <c r="J212" s="5" t="s">
        <v>91</v>
      </c>
      <c r="K212" s="5" t="s">
        <v>27</v>
      </c>
      <c r="L212" s="7">
        <v>98708</v>
      </c>
      <c r="M212" s="6">
        <v>43915</v>
      </c>
      <c r="N212" s="6">
        <v>43892</v>
      </c>
      <c r="P212" s="8">
        <f>L212-O212</f>
        <v>98708</v>
      </c>
      <c r="Q212" s="8" t="str">
        <f t="shared" si="1"/>
        <v>Não Pago</v>
      </c>
    </row>
    <row r="213" spans="1:17" x14ac:dyDescent="0.2">
      <c r="A213" s="5" t="s">
        <v>0</v>
      </c>
      <c r="B213" s="5">
        <v>628966</v>
      </c>
      <c r="C213" s="6">
        <v>43137</v>
      </c>
      <c r="D213" s="6">
        <v>43137</v>
      </c>
      <c r="E213" s="5" t="s">
        <v>65</v>
      </c>
      <c r="G213" s="5" t="s">
        <v>82</v>
      </c>
      <c r="H213" s="5" t="s">
        <v>67</v>
      </c>
      <c r="I213" s="5" t="s">
        <v>3</v>
      </c>
      <c r="J213" s="5" t="s">
        <v>68</v>
      </c>
      <c r="K213" s="5" t="s">
        <v>27</v>
      </c>
      <c r="L213" s="7">
        <v>98544</v>
      </c>
      <c r="M213" s="6">
        <v>43156</v>
      </c>
      <c r="N213" s="6">
        <v>43137</v>
      </c>
      <c r="P213" s="8">
        <f>L213-O213</f>
        <v>98544</v>
      </c>
      <c r="Q213" s="8" t="str">
        <f t="shared" si="1"/>
        <v>Não Pago</v>
      </c>
    </row>
    <row r="214" spans="1:17" x14ac:dyDescent="0.2">
      <c r="A214" s="5" t="s">
        <v>0</v>
      </c>
      <c r="B214" s="5">
        <v>638951</v>
      </c>
      <c r="C214" s="6">
        <v>43253</v>
      </c>
      <c r="D214" s="6">
        <v>43253</v>
      </c>
      <c r="E214" s="5" t="s">
        <v>65</v>
      </c>
      <c r="G214" s="5" t="s">
        <v>82</v>
      </c>
      <c r="H214" s="5" t="s">
        <v>67</v>
      </c>
      <c r="I214" s="5" t="s">
        <v>3</v>
      </c>
      <c r="J214" s="5" t="s">
        <v>68</v>
      </c>
      <c r="K214" s="5" t="s">
        <v>27</v>
      </c>
      <c r="L214" s="7">
        <v>98172</v>
      </c>
      <c r="M214" s="6">
        <v>43276</v>
      </c>
      <c r="N214" s="6">
        <v>43253</v>
      </c>
      <c r="P214" s="8">
        <f>L214-O214</f>
        <v>98172</v>
      </c>
      <c r="Q214" s="8" t="str">
        <f t="shared" si="1"/>
        <v>Não Pago</v>
      </c>
    </row>
    <row r="215" spans="1:17" x14ac:dyDescent="0.2">
      <c r="A215" s="5" t="s">
        <v>0</v>
      </c>
      <c r="B215" s="5">
        <v>675422</v>
      </c>
      <c r="C215" s="6">
        <v>43648</v>
      </c>
      <c r="D215" s="6">
        <v>43648</v>
      </c>
      <c r="E215" s="5" t="s">
        <v>65</v>
      </c>
      <c r="G215" s="5" t="s">
        <v>82</v>
      </c>
      <c r="H215" s="5" t="s">
        <v>2</v>
      </c>
      <c r="I215" s="5" t="s">
        <v>3</v>
      </c>
      <c r="J215" s="5" t="s">
        <v>7</v>
      </c>
      <c r="K215" s="5" t="s">
        <v>27</v>
      </c>
      <c r="L215" s="7">
        <v>97536</v>
      </c>
      <c r="M215" s="6">
        <v>43671</v>
      </c>
      <c r="N215" s="6">
        <v>43648</v>
      </c>
      <c r="P215" s="8">
        <f>L215-O215</f>
        <v>97536</v>
      </c>
      <c r="Q215" s="8" t="str">
        <f t="shared" si="1"/>
        <v>Não Pago</v>
      </c>
    </row>
    <row r="216" spans="1:17" x14ac:dyDescent="0.2">
      <c r="A216" s="5" t="s">
        <v>0</v>
      </c>
      <c r="B216" s="5">
        <v>626782</v>
      </c>
      <c r="C216" s="6">
        <v>42917</v>
      </c>
      <c r="D216" s="6">
        <v>42917</v>
      </c>
      <c r="E216" s="5" t="s">
        <v>65</v>
      </c>
      <c r="G216" s="5" t="s">
        <v>82</v>
      </c>
      <c r="H216" s="5" t="s">
        <v>67</v>
      </c>
      <c r="I216" s="5" t="s">
        <v>3</v>
      </c>
      <c r="J216" s="5" t="s">
        <v>68</v>
      </c>
      <c r="K216" s="5" t="s">
        <v>27</v>
      </c>
      <c r="L216" s="7">
        <v>95504</v>
      </c>
      <c r="M216" s="6">
        <v>42921</v>
      </c>
      <c r="N216" s="6">
        <v>42917</v>
      </c>
      <c r="P216" s="8">
        <f>L216-O216</f>
        <v>95504</v>
      </c>
      <c r="Q216" s="8" t="str">
        <f t="shared" si="1"/>
        <v>Não Pago</v>
      </c>
    </row>
    <row r="217" spans="1:17" x14ac:dyDescent="0.2">
      <c r="A217" s="5" t="s">
        <v>0</v>
      </c>
      <c r="B217" s="5">
        <v>744871</v>
      </c>
      <c r="C217" s="6">
        <v>44174</v>
      </c>
      <c r="D217" s="6">
        <v>44174</v>
      </c>
      <c r="E217" s="5" t="s">
        <v>65</v>
      </c>
      <c r="G217" s="5" t="s">
        <v>82</v>
      </c>
      <c r="H217" s="5" t="s">
        <v>2</v>
      </c>
      <c r="I217" s="5" t="s">
        <v>3</v>
      </c>
      <c r="J217" s="5" t="s">
        <v>6</v>
      </c>
      <c r="K217" s="5" t="s">
        <v>27</v>
      </c>
      <c r="L217" s="7">
        <v>89811</v>
      </c>
      <c r="M217" s="6">
        <v>44190</v>
      </c>
      <c r="N217" s="6">
        <v>44174</v>
      </c>
      <c r="P217" s="8">
        <f>L217-O217</f>
        <v>89811</v>
      </c>
      <c r="Q217" s="8" t="str">
        <f t="shared" si="1"/>
        <v>Não Pago</v>
      </c>
    </row>
    <row r="218" spans="1:17" x14ac:dyDescent="0.2">
      <c r="A218" s="5" t="s">
        <v>0</v>
      </c>
      <c r="B218" s="5">
        <v>683657</v>
      </c>
      <c r="C218" s="6">
        <v>43739</v>
      </c>
      <c r="D218" s="6">
        <v>43739</v>
      </c>
      <c r="E218" s="5" t="s">
        <v>65</v>
      </c>
      <c r="G218" s="5" t="s">
        <v>82</v>
      </c>
      <c r="H218" s="5" t="s">
        <v>2</v>
      </c>
      <c r="I218" s="5" t="s">
        <v>3</v>
      </c>
      <c r="J218" s="5" t="s">
        <v>7</v>
      </c>
      <c r="K218" s="5" t="s">
        <v>27</v>
      </c>
      <c r="L218" s="7">
        <v>87280</v>
      </c>
      <c r="M218" s="6">
        <v>43763</v>
      </c>
      <c r="N218" s="6">
        <v>43739</v>
      </c>
      <c r="P218" s="8">
        <f>L218-O218</f>
        <v>87280</v>
      </c>
      <c r="Q218" s="8" t="str">
        <f t="shared" si="1"/>
        <v>Não Pago</v>
      </c>
    </row>
    <row r="219" spans="1:17" x14ac:dyDescent="0.2">
      <c r="A219" s="5" t="s">
        <v>0</v>
      </c>
      <c r="B219" s="5">
        <v>744870</v>
      </c>
      <c r="C219" s="6">
        <v>44174</v>
      </c>
      <c r="D219" s="6">
        <v>44174</v>
      </c>
      <c r="E219" s="5" t="s">
        <v>65</v>
      </c>
      <c r="G219" s="5" t="s">
        <v>82</v>
      </c>
      <c r="H219" s="5" t="s">
        <v>2</v>
      </c>
      <c r="I219" s="5" t="s">
        <v>3</v>
      </c>
      <c r="J219" s="5" t="s">
        <v>6</v>
      </c>
      <c r="K219" s="5" t="s">
        <v>27</v>
      </c>
      <c r="L219" s="7">
        <v>86535</v>
      </c>
      <c r="M219" s="6">
        <v>44190</v>
      </c>
      <c r="N219" s="6">
        <v>44174</v>
      </c>
      <c r="P219" s="8">
        <f>L219-O219</f>
        <v>86535</v>
      </c>
      <c r="Q219" s="8" t="str">
        <f t="shared" si="1"/>
        <v>Não Pago</v>
      </c>
    </row>
    <row r="220" spans="1:17" x14ac:dyDescent="0.2">
      <c r="A220" s="5" t="s">
        <v>0</v>
      </c>
      <c r="B220" s="5">
        <v>631196</v>
      </c>
      <c r="C220" s="6">
        <v>43173</v>
      </c>
      <c r="D220" s="6">
        <v>43173</v>
      </c>
      <c r="E220" s="5" t="s">
        <v>65</v>
      </c>
      <c r="G220" s="5" t="s">
        <v>82</v>
      </c>
      <c r="H220" s="5" t="s">
        <v>67</v>
      </c>
      <c r="I220" s="5" t="s">
        <v>3</v>
      </c>
      <c r="J220" s="5" t="s">
        <v>68</v>
      </c>
      <c r="K220" s="5" t="s">
        <v>27</v>
      </c>
      <c r="L220" s="7">
        <v>81552</v>
      </c>
      <c r="M220" s="6">
        <v>43184</v>
      </c>
      <c r="N220" s="6">
        <v>43173</v>
      </c>
      <c r="P220" s="8">
        <f>L220-O220</f>
        <v>81552</v>
      </c>
      <c r="Q220" s="8" t="str">
        <f t="shared" si="1"/>
        <v>Não Pago</v>
      </c>
    </row>
    <row r="221" spans="1:17" x14ac:dyDescent="0.2">
      <c r="A221" s="5" t="s">
        <v>0</v>
      </c>
      <c r="B221" s="5">
        <v>641114</v>
      </c>
      <c r="C221" s="6">
        <v>43284</v>
      </c>
      <c r="D221" s="6">
        <v>43284</v>
      </c>
      <c r="E221" s="5" t="s">
        <v>65</v>
      </c>
      <c r="G221" s="5" t="s">
        <v>82</v>
      </c>
      <c r="H221" s="5" t="s">
        <v>67</v>
      </c>
      <c r="I221" s="5" t="s">
        <v>3</v>
      </c>
      <c r="J221" s="5" t="s">
        <v>68</v>
      </c>
      <c r="K221" s="5" t="s">
        <v>27</v>
      </c>
      <c r="L221" s="7">
        <v>80540</v>
      </c>
      <c r="M221" s="6">
        <v>43306</v>
      </c>
      <c r="N221" s="6">
        <v>43284</v>
      </c>
      <c r="P221" s="8">
        <f>L221-O221</f>
        <v>80540</v>
      </c>
      <c r="Q221" s="8" t="str">
        <f t="shared" si="1"/>
        <v>Não Pago</v>
      </c>
    </row>
    <row r="222" spans="1:17" x14ac:dyDescent="0.2">
      <c r="A222" s="5" t="s">
        <v>0</v>
      </c>
      <c r="B222" s="5">
        <v>744872</v>
      </c>
      <c r="C222" s="6">
        <v>44174</v>
      </c>
      <c r="D222" s="6">
        <v>44174</v>
      </c>
      <c r="E222" s="5" t="s">
        <v>65</v>
      </c>
      <c r="G222" s="5" t="s">
        <v>82</v>
      </c>
      <c r="H222" s="5" t="s">
        <v>2</v>
      </c>
      <c r="I222" s="5" t="s">
        <v>3</v>
      </c>
      <c r="J222" s="5" t="s">
        <v>6</v>
      </c>
      <c r="K222" s="5" t="s">
        <v>27</v>
      </c>
      <c r="L222" s="7">
        <v>78748</v>
      </c>
      <c r="M222" s="6">
        <v>44190</v>
      </c>
      <c r="N222" s="6">
        <v>44174</v>
      </c>
      <c r="P222" s="8">
        <f>L222-O222</f>
        <v>78748</v>
      </c>
      <c r="Q222" s="8" t="str">
        <f t="shared" si="1"/>
        <v>Não Pago</v>
      </c>
    </row>
    <row r="223" spans="1:17" x14ac:dyDescent="0.2">
      <c r="A223" s="5" t="s">
        <v>0</v>
      </c>
      <c r="B223" s="5">
        <v>636335</v>
      </c>
      <c r="C223" s="6">
        <v>43222</v>
      </c>
      <c r="D223" s="6">
        <v>43222</v>
      </c>
      <c r="E223" s="5" t="s">
        <v>65</v>
      </c>
      <c r="G223" s="5" t="s">
        <v>82</v>
      </c>
      <c r="H223" s="5" t="s">
        <v>2</v>
      </c>
      <c r="I223" s="5" t="s">
        <v>3</v>
      </c>
      <c r="J223" s="5" t="s">
        <v>68</v>
      </c>
      <c r="K223" s="5" t="s">
        <v>27</v>
      </c>
      <c r="L223" s="7">
        <v>75720</v>
      </c>
      <c r="M223" s="6">
        <v>43245</v>
      </c>
      <c r="N223" s="6">
        <v>43222</v>
      </c>
      <c r="P223" s="8">
        <f>L223-O223</f>
        <v>75720</v>
      </c>
      <c r="Q223" s="8" t="str">
        <f t="shared" si="1"/>
        <v>Não Pago</v>
      </c>
    </row>
    <row r="224" spans="1:17" x14ac:dyDescent="0.2">
      <c r="A224" s="5" t="s">
        <v>0</v>
      </c>
      <c r="B224" s="5">
        <v>633252</v>
      </c>
      <c r="C224" s="6">
        <v>43194</v>
      </c>
      <c r="D224" s="6">
        <v>43194</v>
      </c>
      <c r="E224" s="5" t="s">
        <v>65</v>
      </c>
      <c r="G224" s="5" t="s">
        <v>82</v>
      </c>
      <c r="H224" s="5" t="s">
        <v>2</v>
      </c>
      <c r="I224" s="5" t="s">
        <v>3</v>
      </c>
      <c r="J224" s="5" t="s">
        <v>68</v>
      </c>
      <c r="K224" s="5" t="s">
        <v>27</v>
      </c>
      <c r="L224" s="7">
        <v>73440</v>
      </c>
      <c r="M224" s="6">
        <v>43215</v>
      </c>
      <c r="N224" s="6">
        <v>43194</v>
      </c>
      <c r="P224" s="8">
        <f>L224-O224</f>
        <v>73440</v>
      </c>
      <c r="Q224" s="8" t="str">
        <f t="shared" si="1"/>
        <v>Não Pago</v>
      </c>
    </row>
    <row r="225" spans="1:17" x14ac:dyDescent="0.2">
      <c r="A225" s="5" t="s">
        <v>0</v>
      </c>
      <c r="B225" s="5">
        <v>672537</v>
      </c>
      <c r="C225" s="6">
        <v>43619</v>
      </c>
      <c r="D225" s="6">
        <v>43619</v>
      </c>
      <c r="E225" s="5" t="s">
        <v>65</v>
      </c>
      <c r="G225" s="5" t="s">
        <v>82</v>
      </c>
      <c r="H225" s="5" t="s">
        <v>2</v>
      </c>
      <c r="I225" s="5" t="s">
        <v>3</v>
      </c>
      <c r="J225" s="5" t="s">
        <v>7</v>
      </c>
      <c r="K225" s="5" t="s">
        <v>27</v>
      </c>
      <c r="L225" s="7">
        <v>71680</v>
      </c>
      <c r="M225" s="6">
        <v>43641</v>
      </c>
      <c r="N225" s="6">
        <v>43619</v>
      </c>
      <c r="P225" s="8">
        <f>L225-O225</f>
        <v>71680</v>
      </c>
      <c r="Q225" s="8" t="str">
        <f t="shared" si="1"/>
        <v>Não Pago</v>
      </c>
    </row>
    <row r="226" spans="1:17" x14ac:dyDescent="0.2">
      <c r="A226" s="5" t="s">
        <v>0</v>
      </c>
      <c r="B226" s="5">
        <v>631222</v>
      </c>
      <c r="C226" s="6">
        <v>43101</v>
      </c>
      <c r="D226" s="6">
        <v>43101</v>
      </c>
      <c r="E226" s="5" t="s">
        <v>65</v>
      </c>
      <c r="G226" s="5" t="s">
        <v>82</v>
      </c>
      <c r="H226" s="5" t="s">
        <v>67</v>
      </c>
      <c r="I226" s="5" t="s">
        <v>3</v>
      </c>
      <c r="J226" s="5" t="s">
        <v>68</v>
      </c>
      <c r="K226" s="5" t="s">
        <v>27</v>
      </c>
      <c r="L226" s="7">
        <v>68320</v>
      </c>
      <c r="M226" s="6">
        <v>43125</v>
      </c>
      <c r="N226" s="6">
        <v>43101</v>
      </c>
      <c r="P226" s="8">
        <f>L226-O226</f>
        <v>68320</v>
      </c>
      <c r="Q226" s="8" t="str">
        <f t="shared" si="1"/>
        <v>Não Pago</v>
      </c>
    </row>
    <row r="227" spans="1:17" x14ac:dyDescent="0.2">
      <c r="A227" s="5" t="s">
        <v>0</v>
      </c>
      <c r="B227" s="5">
        <v>626797</v>
      </c>
      <c r="C227" s="6">
        <v>43070</v>
      </c>
      <c r="D227" s="6">
        <v>43070</v>
      </c>
      <c r="E227" s="5" t="s">
        <v>65</v>
      </c>
      <c r="G227" s="5" t="s">
        <v>82</v>
      </c>
      <c r="H227" s="5" t="s">
        <v>67</v>
      </c>
      <c r="I227" s="5" t="s">
        <v>3</v>
      </c>
      <c r="J227" s="5" t="s">
        <v>68</v>
      </c>
      <c r="K227" s="5" t="s">
        <v>27</v>
      </c>
      <c r="L227" s="7">
        <v>67552</v>
      </c>
      <c r="M227" s="6">
        <v>43074</v>
      </c>
      <c r="N227" s="6">
        <v>43070</v>
      </c>
      <c r="P227" s="8">
        <f>L227-O227</f>
        <v>67552</v>
      </c>
      <c r="Q227" s="8" t="str">
        <f t="shared" si="1"/>
        <v>Não Pago</v>
      </c>
    </row>
    <row r="228" spans="1:17" x14ac:dyDescent="0.2">
      <c r="A228" s="5" t="s">
        <v>0</v>
      </c>
      <c r="B228" s="5">
        <v>703060</v>
      </c>
      <c r="C228" s="6">
        <v>43865</v>
      </c>
      <c r="D228" s="6">
        <v>43865</v>
      </c>
      <c r="E228" s="5" t="s">
        <v>65</v>
      </c>
      <c r="G228" s="5" t="s">
        <v>82</v>
      </c>
      <c r="H228" s="5" t="s">
        <v>2</v>
      </c>
      <c r="I228" s="5" t="s">
        <v>3</v>
      </c>
      <c r="J228" s="5" t="s">
        <v>7</v>
      </c>
      <c r="K228" s="5" t="s">
        <v>27</v>
      </c>
      <c r="L228" s="7">
        <v>67228</v>
      </c>
      <c r="M228" s="6">
        <v>43886</v>
      </c>
      <c r="N228" s="6">
        <v>43865</v>
      </c>
      <c r="P228" s="8">
        <f>L228-O228</f>
        <v>67228</v>
      </c>
      <c r="Q228" s="8" t="str">
        <f t="shared" si="1"/>
        <v>Não Pago</v>
      </c>
    </row>
    <row r="229" spans="1:17" x14ac:dyDescent="0.2">
      <c r="A229" s="5" t="s">
        <v>0</v>
      </c>
      <c r="B229" s="5">
        <v>714429</v>
      </c>
      <c r="C229" s="6">
        <v>43952</v>
      </c>
      <c r="D229" s="6">
        <v>43952</v>
      </c>
      <c r="E229" s="5" t="s">
        <v>65</v>
      </c>
      <c r="G229" s="5" t="s">
        <v>82</v>
      </c>
      <c r="H229" s="5" t="s">
        <v>2</v>
      </c>
      <c r="I229" s="5" t="s">
        <v>3</v>
      </c>
      <c r="J229" s="5" t="s">
        <v>6</v>
      </c>
      <c r="K229" s="5" t="s">
        <v>27</v>
      </c>
      <c r="L229" s="7">
        <v>64862</v>
      </c>
      <c r="M229" s="6">
        <v>43976</v>
      </c>
      <c r="N229" s="6">
        <v>43952</v>
      </c>
      <c r="P229" s="8">
        <f>L229-O229</f>
        <v>64862</v>
      </c>
      <c r="Q229" s="8" t="str">
        <f t="shared" si="1"/>
        <v>Não Pago</v>
      </c>
    </row>
    <row r="230" spans="1:17" x14ac:dyDescent="0.2">
      <c r="A230" s="5" t="s">
        <v>0</v>
      </c>
      <c r="B230" s="5">
        <v>626842</v>
      </c>
      <c r="C230" s="6">
        <v>42917</v>
      </c>
      <c r="D230" s="6">
        <v>42917</v>
      </c>
      <c r="E230" s="5" t="s">
        <v>65</v>
      </c>
      <c r="G230" s="5" t="s">
        <v>82</v>
      </c>
      <c r="H230" s="5" t="s">
        <v>67</v>
      </c>
      <c r="I230" s="5" t="s">
        <v>3</v>
      </c>
      <c r="J230" s="5" t="s">
        <v>68</v>
      </c>
      <c r="K230" s="5" t="s">
        <v>27</v>
      </c>
      <c r="L230" s="7">
        <v>63184</v>
      </c>
      <c r="M230" s="6">
        <v>42921</v>
      </c>
      <c r="N230" s="6">
        <v>42917</v>
      </c>
      <c r="P230" s="8">
        <f>L230-O230</f>
        <v>63184</v>
      </c>
      <c r="Q230" s="8" t="str">
        <f t="shared" si="1"/>
        <v>Não Pago</v>
      </c>
    </row>
    <row r="231" spans="1:17" x14ac:dyDescent="0.2">
      <c r="A231" s="5" t="s">
        <v>0</v>
      </c>
      <c r="B231" s="5">
        <v>675420</v>
      </c>
      <c r="C231" s="6">
        <v>43648</v>
      </c>
      <c r="D231" s="6">
        <v>43648</v>
      </c>
      <c r="E231" s="5" t="s">
        <v>65</v>
      </c>
      <c r="G231" s="5" t="s">
        <v>82</v>
      </c>
      <c r="H231" s="5" t="s">
        <v>2</v>
      </c>
      <c r="I231" s="5" t="s">
        <v>3</v>
      </c>
      <c r="J231" s="5" t="s">
        <v>7</v>
      </c>
      <c r="K231" s="5" t="s">
        <v>27</v>
      </c>
      <c r="L231" s="7">
        <v>61880</v>
      </c>
      <c r="M231" s="6">
        <v>43671</v>
      </c>
      <c r="N231" s="6">
        <v>43648</v>
      </c>
      <c r="P231" s="8">
        <f>L231-O231</f>
        <v>61880</v>
      </c>
      <c r="Q231" s="8" t="str">
        <f t="shared" si="1"/>
        <v>Não Pago</v>
      </c>
    </row>
    <row r="232" spans="1:17" x14ac:dyDescent="0.2">
      <c r="A232" s="5" t="s">
        <v>0</v>
      </c>
      <c r="B232" s="5">
        <v>645973</v>
      </c>
      <c r="C232" s="6">
        <v>43346</v>
      </c>
      <c r="D232" s="6">
        <v>43346</v>
      </c>
      <c r="E232" s="5" t="s">
        <v>65</v>
      </c>
      <c r="G232" s="5" t="s">
        <v>82</v>
      </c>
      <c r="H232" s="5" t="s">
        <v>67</v>
      </c>
      <c r="I232" s="5" t="s">
        <v>3</v>
      </c>
      <c r="J232" s="5" t="s">
        <v>68</v>
      </c>
      <c r="K232" s="5" t="s">
        <v>27</v>
      </c>
      <c r="L232" s="7">
        <v>61500</v>
      </c>
      <c r="M232" s="6">
        <v>43368</v>
      </c>
      <c r="N232" s="6">
        <v>43346</v>
      </c>
      <c r="P232" s="8">
        <f>L232-O232</f>
        <v>61500</v>
      </c>
      <c r="Q232" s="8" t="str">
        <f t="shared" si="1"/>
        <v>Não Pago</v>
      </c>
    </row>
    <row r="233" spans="1:17" x14ac:dyDescent="0.2">
      <c r="A233" s="5" t="s">
        <v>0</v>
      </c>
      <c r="B233" s="5">
        <v>648452</v>
      </c>
      <c r="C233" s="6">
        <v>43376</v>
      </c>
      <c r="D233" s="6">
        <v>43376</v>
      </c>
      <c r="E233" s="5" t="s">
        <v>65</v>
      </c>
      <c r="G233" s="5" t="s">
        <v>82</v>
      </c>
      <c r="H233" s="5" t="s">
        <v>67</v>
      </c>
      <c r="I233" s="5" t="s">
        <v>3</v>
      </c>
      <c r="J233" s="5" t="s">
        <v>68</v>
      </c>
      <c r="K233" s="5" t="s">
        <v>27</v>
      </c>
      <c r="L233" s="7">
        <v>60840</v>
      </c>
      <c r="M233" s="6">
        <v>43398</v>
      </c>
      <c r="N233" s="6">
        <v>43376</v>
      </c>
      <c r="P233" s="8">
        <f>L233-O233</f>
        <v>60840</v>
      </c>
      <c r="Q233" s="8" t="str">
        <f t="shared" si="1"/>
        <v>Não Pago</v>
      </c>
    </row>
    <row r="234" spans="1:17" x14ac:dyDescent="0.2">
      <c r="A234" s="5" t="s">
        <v>0</v>
      </c>
      <c r="B234" s="5">
        <v>665617</v>
      </c>
      <c r="C234" s="6">
        <v>43556</v>
      </c>
      <c r="D234" s="6">
        <v>43556</v>
      </c>
      <c r="E234" s="5" t="s">
        <v>65</v>
      </c>
      <c r="G234" s="5" t="s">
        <v>82</v>
      </c>
      <c r="H234" s="5" t="s">
        <v>2</v>
      </c>
      <c r="I234" s="5" t="s">
        <v>3</v>
      </c>
      <c r="J234" s="5" t="s">
        <v>7</v>
      </c>
      <c r="K234" s="5" t="s">
        <v>27</v>
      </c>
      <c r="L234" s="7">
        <v>59410</v>
      </c>
      <c r="M234" s="6">
        <v>43580</v>
      </c>
      <c r="N234" s="6">
        <v>43556</v>
      </c>
      <c r="P234" s="8">
        <f>L234-O234</f>
        <v>59410</v>
      </c>
      <c r="Q234" s="8" t="str">
        <f t="shared" si="1"/>
        <v>Não Pago</v>
      </c>
    </row>
    <row r="235" spans="1:17" x14ac:dyDescent="0.2">
      <c r="A235" s="5" t="s">
        <v>0</v>
      </c>
      <c r="B235" s="5">
        <v>714431</v>
      </c>
      <c r="C235" s="6">
        <v>43952</v>
      </c>
      <c r="D235" s="6">
        <v>43952</v>
      </c>
      <c r="E235" s="5" t="s">
        <v>65</v>
      </c>
      <c r="G235" s="5" t="s">
        <v>82</v>
      </c>
      <c r="H235" s="5" t="s">
        <v>2</v>
      </c>
      <c r="I235" s="5" t="s">
        <v>3</v>
      </c>
      <c r="J235" s="5" t="s">
        <v>6</v>
      </c>
      <c r="K235" s="5" t="s">
        <v>27</v>
      </c>
      <c r="L235" s="7">
        <v>58440</v>
      </c>
      <c r="M235" s="6">
        <v>43976</v>
      </c>
      <c r="N235" s="6">
        <v>43952</v>
      </c>
      <c r="P235" s="8">
        <f>L235-O235</f>
        <v>58440</v>
      </c>
      <c r="Q235" s="8" t="str">
        <f t="shared" si="1"/>
        <v>Não Pago</v>
      </c>
    </row>
    <row r="236" spans="1:17" x14ac:dyDescent="0.2">
      <c r="A236" s="5" t="s">
        <v>0</v>
      </c>
      <c r="B236" s="5">
        <v>669474</v>
      </c>
      <c r="C236" s="6">
        <v>43587</v>
      </c>
      <c r="D236" s="6">
        <v>43587</v>
      </c>
      <c r="E236" s="5" t="s">
        <v>65</v>
      </c>
      <c r="G236" s="5" t="s">
        <v>82</v>
      </c>
      <c r="H236" s="5" t="s">
        <v>2</v>
      </c>
      <c r="I236" s="5" t="s">
        <v>3</v>
      </c>
      <c r="J236" s="5" t="s">
        <v>7</v>
      </c>
      <c r="K236" s="5" t="s">
        <v>27</v>
      </c>
      <c r="L236" s="7">
        <v>57820</v>
      </c>
      <c r="M236" s="6">
        <v>43610</v>
      </c>
      <c r="N236" s="6">
        <v>43587</v>
      </c>
      <c r="P236" s="8">
        <f>L236-O236</f>
        <v>57820</v>
      </c>
      <c r="Q236" s="8" t="str">
        <f t="shared" si="1"/>
        <v>Não Pago</v>
      </c>
    </row>
    <row r="237" spans="1:17" x14ac:dyDescent="0.2">
      <c r="A237" s="5" t="s">
        <v>0</v>
      </c>
      <c r="B237" s="5">
        <v>672538</v>
      </c>
      <c r="C237" s="6">
        <v>43619</v>
      </c>
      <c r="D237" s="6">
        <v>43619</v>
      </c>
      <c r="E237" s="5" t="s">
        <v>65</v>
      </c>
      <c r="G237" s="5" t="s">
        <v>82</v>
      </c>
      <c r="H237" s="5" t="s">
        <v>2</v>
      </c>
      <c r="I237" s="5" t="s">
        <v>3</v>
      </c>
      <c r="J237" s="5" t="s">
        <v>7</v>
      </c>
      <c r="K237" s="5" t="s">
        <v>27</v>
      </c>
      <c r="L237" s="7">
        <v>57530</v>
      </c>
      <c r="M237" s="6">
        <v>43641</v>
      </c>
      <c r="N237" s="6">
        <v>43619</v>
      </c>
      <c r="P237" s="8">
        <f>L237-O237</f>
        <v>57530</v>
      </c>
      <c r="Q237" s="8" t="str">
        <f t="shared" si="1"/>
        <v>Não Pago</v>
      </c>
    </row>
    <row r="238" spans="1:17" x14ac:dyDescent="0.2">
      <c r="A238" s="5" t="s">
        <v>0</v>
      </c>
      <c r="B238" s="5">
        <v>643493</v>
      </c>
      <c r="C238" s="6">
        <v>43313</v>
      </c>
      <c r="D238" s="6">
        <v>43313</v>
      </c>
      <c r="E238" s="5" t="s">
        <v>65</v>
      </c>
      <c r="G238" s="5" t="s">
        <v>82</v>
      </c>
      <c r="H238" s="5" t="s">
        <v>67</v>
      </c>
      <c r="I238" s="5" t="s">
        <v>3</v>
      </c>
      <c r="J238" s="5" t="s">
        <v>68</v>
      </c>
      <c r="K238" s="5" t="s">
        <v>27</v>
      </c>
      <c r="L238" s="7">
        <v>57270</v>
      </c>
      <c r="M238" s="6">
        <v>43337</v>
      </c>
      <c r="N238" s="6">
        <v>43313</v>
      </c>
      <c r="P238" s="8">
        <f>L238-O238</f>
        <v>57270</v>
      </c>
      <c r="Q238" s="8" t="str">
        <f t="shared" si="1"/>
        <v>Não Pago</v>
      </c>
    </row>
    <row r="239" spans="1:17" x14ac:dyDescent="0.2">
      <c r="A239" s="5" t="s">
        <v>0</v>
      </c>
      <c r="B239" s="5">
        <v>662761</v>
      </c>
      <c r="C239" s="6">
        <v>43525</v>
      </c>
      <c r="D239" s="6">
        <v>43525</v>
      </c>
      <c r="E239" s="5" t="s">
        <v>65</v>
      </c>
      <c r="G239" s="5" t="s">
        <v>82</v>
      </c>
      <c r="H239" s="5" t="s">
        <v>2</v>
      </c>
      <c r="I239" s="5" t="s">
        <v>3</v>
      </c>
      <c r="J239" s="5" t="s">
        <v>7</v>
      </c>
      <c r="K239" s="5" t="s">
        <v>27</v>
      </c>
      <c r="L239" s="7">
        <v>57200</v>
      </c>
      <c r="M239" s="6">
        <v>43549</v>
      </c>
      <c r="N239" s="6">
        <v>43525</v>
      </c>
      <c r="P239" s="8">
        <f>L239-O239</f>
        <v>57200</v>
      </c>
      <c r="Q239" s="8" t="str">
        <f t="shared" si="1"/>
        <v>Não Pago</v>
      </c>
    </row>
    <row r="240" spans="1:17" x14ac:dyDescent="0.2">
      <c r="A240" s="5" t="s">
        <v>0</v>
      </c>
      <c r="B240" s="5">
        <v>658078</v>
      </c>
      <c r="C240" s="6">
        <v>43500</v>
      </c>
      <c r="D240" s="6">
        <v>43500</v>
      </c>
      <c r="E240" s="5" t="s">
        <v>65</v>
      </c>
      <c r="G240" s="5" t="s">
        <v>82</v>
      </c>
      <c r="H240" s="5" t="s">
        <v>2</v>
      </c>
      <c r="I240" s="5" t="s">
        <v>3</v>
      </c>
      <c r="J240" s="5" t="s">
        <v>7</v>
      </c>
      <c r="K240" s="5" t="s">
        <v>27</v>
      </c>
      <c r="L240" s="7">
        <v>56360</v>
      </c>
      <c r="M240" s="6">
        <v>43521</v>
      </c>
      <c r="N240" s="6">
        <v>43500</v>
      </c>
      <c r="P240" s="8">
        <f>L240-O240</f>
        <v>56360</v>
      </c>
      <c r="Q240" s="8" t="str">
        <f t="shared" si="1"/>
        <v>Não Pago</v>
      </c>
    </row>
    <row r="241" spans="1:19" x14ac:dyDescent="0.2">
      <c r="A241" s="5" t="s">
        <v>0</v>
      </c>
      <c r="B241" s="5">
        <v>642613</v>
      </c>
      <c r="C241" s="6">
        <v>43269</v>
      </c>
      <c r="D241" s="6">
        <v>43269</v>
      </c>
      <c r="E241" s="5" t="s">
        <v>65</v>
      </c>
      <c r="G241" s="5" t="s">
        <v>87</v>
      </c>
      <c r="H241" s="5" t="s">
        <v>67</v>
      </c>
      <c r="I241" s="5" t="s">
        <v>3</v>
      </c>
      <c r="J241" s="5" t="s">
        <v>68</v>
      </c>
      <c r="K241" s="5" t="s">
        <v>27</v>
      </c>
      <c r="L241" s="7">
        <v>54200</v>
      </c>
      <c r="M241" s="6">
        <v>43269</v>
      </c>
      <c r="N241" s="6">
        <v>43269</v>
      </c>
      <c r="P241" s="8">
        <f>L241-O241</f>
        <v>54200</v>
      </c>
      <c r="Q241" s="8" t="str">
        <f t="shared" si="1"/>
        <v>Não Pago</v>
      </c>
      <c r="S241" s="5" t="s">
        <v>88</v>
      </c>
    </row>
    <row r="242" spans="1:19" x14ac:dyDescent="0.2">
      <c r="A242" s="5" t="s">
        <v>0</v>
      </c>
      <c r="B242" s="5">
        <v>710834</v>
      </c>
      <c r="C242" s="6">
        <v>43923</v>
      </c>
      <c r="D242" s="6">
        <v>43923</v>
      </c>
      <c r="E242" s="5" t="s">
        <v>65</v>
      </c>
      <c r="G242" s="5" t="s">
        <v>82</v>
      </c>
      <c r="H242" s="5" t="s">
        <v>2</v>
      </c>
      <c r="I242" s="5" t="s">
        <v>3</v>
      </c>
      <c r="J242" s="5" t="s">
        <v>6</v>
      </c>
      <c r="K242" s="5" t="s">
        <v>27</v>
      </c>
      <c r="L242" s="7">
        <v>53604</v>
      </c>
      <c r="M242" s="6">
        <v>43946</v>
      </c>
      <c r="N242" s="6">
        <v>43923</v>
      </c>
      <c r="P242" s="8">
        <f>L242-O242</f>
        <v>53604</v>
      </c>
      <c r="Q242" s="8" t="str">
        <f t="shared" si="1"/>
        <v>Não Pago</v>
      </c>
    </row>
    <row r="243" spans="1:19" x14ac:dyDescent="0.2">
      <c r="A243" s="5" t="s">
        <v>0</v>
      </c>
      <c r="B243" s="5">
        <v>749759</v>
      </c>
      <c r="C243" s="6">
        <v>44207</v>
      </c>
      <c r="D243" s="6">
        <v>44207</v>
      </c>
      <c r="E243" s="5" t="s">
        <v>65</v>
      </c>
      <c r="G243" s="5" t="s">
        <v>82</v>
      </c>
      <c r="H243" s="5" t="s">
        <v>2</v>
      </c>
      <c r="I243" s="5" t="s">
        <v>3</v>
      </c>
      <c r="J243" s="5" t="s">
        <v>6</v>
      </c>
      <c r="K243" s="5" t="s">
        <v>27</v>
      </c>
      <c r="L243" s="7">
        <v>53320.9</v>
      </c>
      <c r="M243" s="6">
        <v>44221</v>
      </c>
      <c r="N243" s="6">
        <v>44207</v>
      </c>
      <c r="P243" s="8">
        <f>L243-O243</f>
        <v>53320.9</v>
      </c>
      <c r="Q243" s="8" t="str">
        <f t="shared" si="1"/>
        <v>Não Pago</v>
      </c>
    </row>
    <row r="244" spans="1:19" x14ac:dyDescent="0.2">
      <c r="A244" s="5" t="s">
        <v>0</v>
      </c>
      <c r="B244" s="5">
        <v>675421</v>
      </c>
      <c r="C244" s="6">
        <v>43648</v>
      </c>
      <c r="D244" s="6">
        <v>43648</v>
      </c>
      <c r="E244" s="5" t="s">
        <v>65</v>
      </c>
      <c r="G244" s="5" t="s">
        <v>82</v>
      </c>
      <c r="H244" s="5" t="s">
        <v>2</v>
      </c>
      <c r="I244" s="5" t="s">
        <v>3</v>
      </c>
      <c r="J244" s="5" t="s">
        <v>7</v>
      </c>
      <c r="K244" s="5" t="s">
        <v>27</v>
      </c>
      <c r="L244" s="7">
        <v>52310</v>
      </c>
      <c r="M244" s="6">
        <v>43671</v>
      </c>
      <c r="N244" s="6">
        <v>43648</v>
      </c>
      <c r="P244" s="8">
        <f>L244-O244</f>
        <v>52310</v>
      </c>
      <c r="Q244" s="8" t="str">
        <f t="shared" si="1"/>
        <v>Não Pago</v>
      </c>
    </row>
    <row r="245" spans="1:19" x14ac:dyDescent="0.2">
      <c r="A245" s="5" t="s">
        <v>0</v>
      </c>
      <c r="B245" s="5">
        <v>734063</v>
      </c>
      <c r="C245" s="6">
        <v>44110</v>
      </c>
      <c r="D245" s="6">
        <v>44110</v>
      </c>
      <c r="E245" s="5" t="s">
        <v>65</v>
      </c>
      <c r="G245" s="5" t="s">
        <v>82</v>
      </c>
      <c r="H245" s="5" t="s">
        <v>2</v>
      </c>
      <c r="I245" s="5" t="s">
        <v>3</v>
      </c>
      <c r="J245" s="5" t="s">
        <v>6</v>
      </c>
      <c r="K245" s="5" t="s">
        <v>27</v>
      </c>
      <c r="L245" s="7">
        <v>52156</v>
      </c>
      <c r="M245" s="6">
        <v>44129</v>
      </c>
      <c r="N245" s="6">
        <v>44110</v>
      </c>
      <c r="P245" s="8">
        <f>L245-O245</f>
        <v>52156</v>
      </c>
      <c r="Q245" s="8" t="str">
        <f t="shared" si="1"/>
        <v>Não Pago</v>
      </c>
    </row>
    <row r="246" spans="1:19" x14ac:dyDescent="0.2">
      <c r="A246" s="5" t="s">
        <v>0</v>
      </c>
      <c r="B246" s="5">
        <v>655470</v>
      </c>
      <c r="C246" s="6">
        <v>43467</v>
      </c>
      <c r="D246" s="6">
        <v>43467</v>
      </c>
      <c r="E246" s="5" t="s">
        <v>65</v>
      </c>
      <c r="G246" s="5" t="s">
        <v>82</v>
      </c>
      <c r="H246" s="5" t="s">
        <v>2</v>
      </c>
      <c r="I246" s="5" t="s">
        <v>3</v>
      </c>
      <c r="J246" s="5" t="s">
        <v>7</v>
      </c>
      <c r="K246" s="5" t="s">
        <v>27</v>
      </c>
      <c r="L246" s="7">
        <v>46710</v>
      </c>
      <c r="M246" s="6">
        <v>43490</v>
      </c>
      <c r="N246" s="6">
        <v>43467</v>
      </c>
      <c r="P246" s="8">
        <f>L246-O246</f>
        <v>46710</v>
      </c>
      <c r="Q246" s="8" t="str">
        <f t="shared" si="1"/>
        <v>Não Pago</v>
      </c>
    </row>
    <row r="247" spans="1:19" x14ac:dyDescent="0.2">
      <c r="A247" s="5" t="s">
        <v>0</v>
      </c>
      <c r="B247" s="5">
        <v>677835</v>
      </c>
      <c r="C247" s="6">
        <v>43678</v>
      </c>
      <c r="D247" s="6">
        <v>43678</v>
      </c>
      <c r="E247" s="5" t="s">
        <v>65</v>
      </c>
      <c r="G247" s="5" t="s">
        <v>82</v>
      </c>
      <c r="H247" s="5" t="s">
        <v>2</v>
      </c>
      <c r="I247" s="5" t="s">
        <v>3</v>
      </c>
      <c r="J247" s="5" t="s">
        <v>7</v>
      </c>
      <c r="K247" s="5" t="s">
        <v>27</v>
      </c>
      <c r="L247" s="7">
        <v>45900</v>
      </c>
      <c r="M247" s="6">
        <v>43702</v>
      </c>
      <c r="N247" s="6">
        <v>43678</v>
      </c>
      <c r="P247" s="8">
        <f>L247-O247</f>
        <v>45900</v>
      </c>
      <c r="Q247" s="8" t="str">
        <f t="shared" si="1"/>
        <v>Não Pago</v>
      </c>
    </row>
    <row r="248" spans="1:19" x14ac:dyDescent="0.2">
      <c r="A248" s="5" t="s">
        <v>0</v>
      </c>
      <c r="B248" s="5">
        <v>653115</v>
      </c>
      <c r="C248" s="6">
        <v>43437</v>
      </c>
      <c r="D248" s="6">
        <v>43437</v>
      </c>
      <c r="E248" s="5" t="s">
        <v>65</v>
      </c>
      <c r="G248" s="5" t="s">
        <v>82</v>
      </c>
      <c r="H248" s="5" t="s">
        <v>2</v>
      </c>
      <c r="I248" s="5" t="s">
        <v>3</v>
      </c>
      <c r="J248" s="5" t="s">
        <v>7</v>
      </c>
      <c r="K248" s="5" t="s">
        <v>27</v>
      </c>
      <c r="L248" s="7">
        <v>43850</v>
      </c>
      <c r="M248" s="6">
        <v>43459</v>
      </c>
      <c r="N248" s="6">
        <v>43437</v>
      </c>
      <c r="P248" s="8">
        <f>L248-O248</f>
        <v>43850</v>
      </c>
      <c r="Q248" s="8" t="str">
        <f t="shared" si="1"/>
        <v>Não Pago</v>
      </c>
    </row>
    <row r="249" spans="1:19" x14ac:dyDescent="0.2">
      <c r="A249" s="5" t="s">
        <v>0</v>
      </c>
      <c r="B249" s="5">
        <v>650762</v>
      </c>
      <c r="C249" s="6">
        <v>43405</v>
      </c>
      <c r="D249" s="6">
        <v>43405</v>
      </c>
      <c r="E249" s="5" t="s">
        <v>65</v>
      </c>
      <c r="G249" s="5" t="s">
        <v>82</v>
      </c>
      <c r="H249" s="5" t="s">
        <v>67</v>
      </c>
      <c r="I249" s="5" t="s">
        <v>3</v>
      </c>
      <c r="J249" s="5" t="s">
        <v>7</v>
      </c>
      <c r="K249" s="5" t="s">
        <v>27</v>
      </c>
      <c r="L249" s="7">
        <v>40050</v>
      </c>
      <c r="M249" s="6">
        <v>43429</v>
      </c>
      <c r="N249" s="6">
        <v>43405</v>
      </c>
      <c r="P249" s="8">
        <f>L249-O249</f>
        <v>40050</v>
      </c>
      <c r="Q249" s="8" t="str">
        <f t="shared" si="1"/>
        <v>Não Pago</v>
      </c>
    </row>
    <row r="250" spans="1:19" x14ac:dyDescent="0.2">
      <c r="A250" s="5" t="s">
        <v>0</v>
      </c>
      <c r="B250" s="5">
        <v>726609</v>
      </c>
      <c r="C250" s="6">
        <v>44046</v>
      </c>
      <c r="D250" s="6">
        <v>44046</v>
      </c>
      <c r="E250" s="5" t="s">
        <v>65</v>
      </c>
      <c r="G250" s="5" t="s">
        <v>82</v>
      </c>
      <c r="H250" s="5" t="s">
        <v>2</v>
      </c>
      <c r="I250" s="5" t="s">
        <v>3</v>
      </c>
      <c r="J250" s="5" t="s">
        <v>6</v>
      </c>
      <c r="K250" s="5" t="s">
        <v>27</v>
      </c>
      <c r="L250" s="7">
        <v>38816</v>
      </c>
      <c r="M250" s="6">
        <v>44068</v>
      </c>
      <c r="N250" s="6">
        <v>44046</v>
      </c>
      <c r="P250" s="8">
        <f>L250-O250</f>
        <v>38816</v>
      </c>
      <c r="Q250" s="8" t="str">
        <f t="shared" si="1"/>
        <v>Não Pago</v>
      </c>
    </row>
    <row r="251" spans="1:19" x14ac:dyDescent="0.2">
      <c r="A251" s="5" t="s">
        <v>0</v>
      </c>
      <c r="B251" s="5">
        <v>703059</v>
      </c>
      <c r="C251" s="6">
        <v>43865</v>
      </c>
      <c r="D251" s="6">
        <v>43865</v>
      </c>
      <c r="E251" s="5" t="s">
        <v>65</v>
      </c>
      <c r="G251" s="5" t="s">
        <v>82</v>
      </c>
      <c r="H251" s="5" t="s">
        <v>2</v>
      </c>
      <c r="I251" s="5" t="s">
        <v>3</v>
      </c>
      <c r="J251" s="5" t="s">
        <v>7</v>
      </c>
      <c r="K251" s="5" t="s">
        <v>27</v>
      </c>
      <c r="L251" s="7">
        <v>37877</v>
      </c>
      <c r="M251" s="6">
        <v>43886</v>
      </c>
      <c r="N251" s="6">
        <v>43865</v>
      </c>
      <c r="P251" s="8">
        <f>L251-O251</f>
        <v>37877</v>
      </c>
      <c r="Q251" s="8" t="str">
        <f t="shared" si="1"/>
        <v>Não Pago</v>
      </c>
    </row>
    <row r="252" spans="1:19" x14ac:dyDescent="0.2">
      <c r="A252" s="5" t="s">
        <v>0</v>
      </c>
      <c r="B252" s="5">
        <v>677832</v>
      </c>
      <c r="C252" s="6">
        <v>43678</v>
      </c>
      <c r="D252" s="6">
        <v>43678</v>
      </c>
      <c r="E252" s="5" t="s">
        <v>65</v>
      </c>
      <c r="G252" s="5" t="s">
        <v>82</v>
      </c>
      <c r="H252" s="5" t="s">
        <v>2</v>
      </c>
      <c r="I252" s="5" t="s">
        <v>3</v>
      </c>
      <c r="J252" s="5" t="s">
        <v>7</v>
      </c>
      <c r="K252" s="5" t="s">
        <v>27</v>
      </c>
      <c r="L252" s="7">
        <v>37010</v>
      </c>
      <c r="M252" s="6">
        <v>43702</v>
      </c>
      <c r="N252" s="6">
        <v>43678</v>
      </c>
      <c r="P252" s="8">
        <f>L252-O252</f>
        <v>37010</v>
      </c>
      <c r="Q252" s="8" t="str">
        <f t="shared" si="1"/>
        <v>Não Pago</v>
      </c>
    </row>
    <row r="253" spans="1:19" x14ac:dyDescent="0.2">
      <c r="A253" s="5" t="s">
        <v>0</v>
      </c>
      <c r="B253" s="5">
        <v>683656</v>
      </c>
      <c r="C253" s="6">
        <v>43739</v>
      </c>
      <c r="D253" s="6">
        <v>43739</v>
      </c>
      <c r="E253" s="5" t="s">
        <v>65</v>
      </c>
      <c r="G253" s="5" t="s">
        <v>82</v>
      </c>
      <c r="H253" s="5" t="s">
        <v>2</v>
      </c>
      <c r="I253" s="5" t="s">
        <v>3</v>
      </c>
      <c r="J253" s="5" t="s">
        <v>7</v>
      </c>
      <c r="K253" s="5" t="s">
        <v>27</v>
      </c>
      <c r="L253" s="7">
        <v>36848</v>
      </c>
      <c r="M253" s="6">
        <v>43763</v>
      </c>
      <c r="N253" s="6">
        <v>43739</v>
      </c>
      <c r="P253" s="8">
        <f>L253-O253</f>
        <v>36848</v>
      </c>
      <c r="Q253" s="8" t="str">
        <f t="shared" si="1"/>
        <v>Não Pago</v>
      </c>
    </row>
    <row r="254" spans="1:19" x14ac:dyDescent="0.2">
      <c r="A254" s="5" t="s">
        <v>0</v>
      </c>
      <c r="B254" s="5">
        <v>675423</v>
      </c>
      <c r="C254" s="6">
        <v>43648</v>
      </c>
      <c r="D254" s="6">
        <v>43648</v>
      </c>
      <c r="E254" s="5" t="s">
        <v>65</v>
      </c>
      <c r="G254" s="5" t="s">
        <v>89</v>
      </c>
      <c r="H254" s="5" t="s">
        <v>2</v>
      </c>
      <c r="I254" s="5" t="s">
        <v>3</v>
      </c>
      <c r="J254" s="5" t="s">
        <v>7</v>
      </c>
      <c r="K254" s="5" t="s">
        <v>27</v>
      </c>
      <c r="L254" s="7">
        <v>36488</v>
      </c>
      <c r="M254" s="6">
        <v>43671</v>
      </c>
      <c r="N254" s="6">
        <v>43648</v>
      </c>
      <c r="P254" s="8">
        <f>L254-O254</f>
        <v>36488</v>
      </c>
      <c r="Q254" s="8" t="str">
        <f t="shared" si="1"/>
        <v>Não Pago</v>
      </c>
    </row>
    <row r="255" spans="1:19" x14ac:dyDescent="0.2">
      <c r="A255" s="5" t="s">
        <v>0</v>
      </c>
      <c r="B255" s="5">
        <v>739801</v>
      </c>
      <c r="C255" s="6">
        <v>44145</v>
      </c>
      <c r="D255" s="6">
        <v>44145</v>
      </c>
      <c r="E255" s="5" t="s">
        <v>65</v>
      </c>
      <c r="G255" s="5" t="s">
        <v>82</v>
      </c>
      <c r="H255" s="5" t="s">
        <v>2</v>
      </c>
      <c r="I255" s="5" t="s">
        <v>3</v>
      </c>
      <c r="J255" s="5" t="s">
        <v>6</v>
      </c>
      <c r="K255" s="5" t="s">
        <v>27</v>
      </c>
      <c r="L255" s="7">
        <v>35404</v>
      </c>
      <c r="M255" s="6">
        <v>44160</v>
      </c>
      <c r="N255" s="6">
        <v>44145</v>
      </c>
      <c r="P255" s="8">
        <f>L255-O255</f>
        <v>35404</v>
      </c>
      <c r="Q255" s="8" t="str">
        <f t="shared" si="1"/>
        <v>Não Pago</v>
      </c>
    </row>
    <row r="256" spans="1:19" x14ac:dyDescent="0.2">
      <c r="A256" s="5" t="s">
        <v>0</v>
      </c>
      <c r="B256" s="5">
        <v>669473</v>
      </c>
      <c r="C256" s="6">
        <v>43587</v>
      </c>
      <c r="D256" s="6">
        <v>43587</v>
      </c>
      <c r="E256" s="5" t="s">
        <v>65</v>
      </c>
      <c r="G256" s="5" t="s">
        <v>82</v>
      </c>
      <c r="H256" s="5" t="s">
        <v>2</v>
      </c>
      <c r="I256" s="5" t="s">
        <v>3</v>
      </c>
      <c r="J256" s="5" t="s">
        <v>7</v>
      </c>
      <c r="K256" s="5" t="s">
        <v>27</v>
      </c>
      <c r="L256" s="7">
        <v>32710</v>
      </c>
      <c r="M256" s="6">
        <v>43610</v>
      </c>
      <c r="N256" s="6">
        <v>43587</v>
      </c>
      <c r="P256" s="8">
        <f>L256-O256</f>
        <v>32710</v>
      </c>
      <c r="Q256" s="8" t="str">
        <f t="shared" si="1"/>
        <v>Não Pago</v>
      </c>
    </row>
    <row r="257" spans="1:17" x14ac:dyDescent="0.2">
      <c r="A257" s="5" t="s">
        <v>0</v>
      </c>
      <c r="B257" s="5">
        <v>707123</v>
      </c>
      <c r="C257" s="6">
        <v>43892</v>
      </c>
      <c r="D257" s="6">
        <v>43892</v>
      </c>
      <c r="E257" s="5" t="s">
        <v>65</v>
      </c>
      <c r="G257" s="5" t="s">
        <v>82</v>
      </c>
      <c r="H257" s="5" t="s">
        <v>2</v>
      </c>
      <c r="I257" s="5" t="s">
        <v>3</v>
      </c>
      <c r="J257" s="5" t="s">
        <v>91</v>
      </c>
      <c r="K257" s="5" t="s">
        <v>27</v>
      </c>
      <c r="L257" s="7">
        <v>30927</v>
      </c>
      <c r="M257" s="6">
        <v>43915</v>
      </c>
      <c r="N257" s="6">
        <v>43892</v>
      </c>
      <c r="P257" s="8">
        <f>L257-O257</f>
        <v>30927</v>
      </c>
      <c r="Q257" s="8" t="str">
        <f t="shared" si="1"/>
        <v>Não Pago</v>
      </c>
    </row>
    <row r="258" spans="1:17" x14ac:dyDescent="0.2">
      <c r="A258" s="5" t="s">
        <v>0</v>
      </c>
      <c r="B258" s="5">
        <v>648451</v>
      </c>
      <c r="C258" s="6">
        <v>43376</v>
      </c>
      <c r="D258" s="6">
        <v>43376</v>
      </c>
      <c r="E258" s="5" t="s">
        <v>65</v>
      </c>
      <c r="G258" s="5" t="s">
        <v>82</v>
      </c>
      <c r="H258" s="5" t="s">
        <v>67</v>
      </c>
      <c r="I258" s="5" t="s">
        <v>3</v>
      </c>
      <c r="J258" s="5" t="s">
        <v>68</v>
      </c>
      <c r="K258" s="5" t="s">
        <v>27</v>
      </c>
      <c r="L258" s="7">
        <v>29660</v>
      </c>
      <c r="M258" s="6">
        <v>43398</v>
      </c>
      <c r="N258" s="6">
        <v>43376</v>
      </c>
      <c r="P258" s="8">
        <f>L258-O258</f>
        <v>29660</v>
      </c>
      <c r="Q258" s="8" t="str">
        <f t="shared" si="1"/>
        <v>Não Pago</v>
      </c>
    </row>
    <row r="259" spans="1:17" x14ac:dyDescent="0.2">
      <c r="A259" s="5" t="s">
        <v>0</v>
      </c>
      <c r="B259" s="5">
        <v>643492</v>
      </c>
      <c r="C259" s="6">
        <v>43313</v>
      </c>
      <c r="D259" s="6">
        <v>43313</v>
      </c>
      <c r="E259" s="5" t="s">
        <v>65</v>
      </c>
      <c r="G259" s="5" t="s">
        <v>82</v>
      </c>
      <c r="H259" s="5" t="s">
        <v>67</v>
      </c>
      <c r="I259" s="5" t="s">
        <v>3</v>
      </c>
      <c r="J259" s="5" t="s">
        <v>68</v>
      </c>
      <c r="K259" s="5" t="s">
        <v>27</v>
      </c>
      <c r="L259" s="7">
        <v>29650</v>
      </c>
      <c r="M259" s="6">
        <v>43337</v>
      </c>
      <c r="N259" s="6">
        <v>43313</v>
      </c>
      <c r="P259" s="8">
        <f>L259-O259</f>
        <v>29650</v>
      </c>
      <c r="Q259" s="8" t="str">
        <f t="shared" si="1"/>
        <v>Não Pago</v>
      </c>
    </row>
    <row r="260" spans="1:17" x14ac:dyDescent="0.2">
      <c r="A260" s="5" t="s">
        <v>0</v>
      </c>
      <c r="B260" s="5">
        <v>645972</v>
      </c>
      <c r="C260" s="6">
        <v>43346</v>
      </c>
      <c r="D260" s="6">
        <v>43346</v>
      </c>
      <c r="E260" s="5" t="s">
        <v>65</v>
      </c>
      <c r="G260" s="5" t="s">
        <v>82</v>
      </c>
      <c r="H260" s="5" t="s">
        <v>67</v>
      </c>
      <c r="I260" s="5" t="s">
        <v>3</v>
      </c>
      <c r="J260" s="5" t="s">
        <v>68</v>
      </c>
      <c r="K260" s="5" t="s">
        <v>27</v>
      </c>
      <c r="L260" s="7">
        <v>28030</v>
      </c>
      <c r="M260" s="6">
        <v>43368</v>
      </c>
      <c r="N260" s="6">
        <v>43346</v>
      </c>
      <c r="P260" s="8">
        <f>L260-O260</f>
        <v>28030</v>
      </c>
      <c r="Q260" s="8" t="str">
        <f t="shared" ref="Q260:Q288" si="2">IF(P260=0,"Pago","Não Pago")</f>
        <v>Não Pago</v>
      </c>
    </row>
    <row r="261" spans="1:17" x14ac:dyDescent="0.2">
      <c r="A261" s="5" t="s">
        <v>0</v>
      </c>
      <c r="B261" s="5">
        <v>641231</v>
      </c>
      <c r="C261" s="6">
        <v>43286</v>
      </c>
      <c r="D261" s="6">
        <v>43286</v>
      </c>
      <c r="E261" s="5" t="s">
        <v>65</v>
      </c>
      <c r="G261" s="5" t="s">
        <v>82</v>
      </c>
      <c r="H261" s="5" t="s">
        <v>67</v>
      </c>
      <c r="I261" s="5" t="s">
        <v>3</v>
      </c>
      <c r="J261" s="5" t="s">
        <v>68</v>
      </c>
      <c r="K261" s="5" t="s">
        <v>27</v>
      </c>
      <c r="L261" s="7">
        <v>27230</v>
      </c>
      <c r="M261" s="6">
        <v>43306</v>
      </c>
      <c r="N261" s="6">
        <v>43286</v>
      </c>
      <c r="P261" s="8">
        <f>L261-O261</f>
        <v>27230</v>
      </c>
      <c r="Q261" s="8" t="str">
        <f t="shared" si="2"/>
        <v>Não Pago</v>
      </c>
    </row>
    <row r="262" spans="1:17" x14ac:dyDescent="0.2">
      <c r="A262" s="5" t="s">
        <v>0</v>
      </c>
      <c r="B262" s="5">
        <v>681362</v>
      </c>
      <c r="C262" s="6">
        <v>43711</v>
      </c>
      <c r="D262" s="6">
        <v>43711</v>
      </c>
      <c r="E262" s="5" t="s">
        <v>65</v>
      </c>
      <c r="G262" s="5" t="s">
        <v>82</v>
      </c>
      <c r="H262" s="5" t="s">
        <v>2</v>
      </c>
      <c r="I262" s="5" t="s">
        <v>3</v>
      </c>
      <c r="J262" s="5" t="s">
        <v>7</v>
      </c>
      <c r="K262" s="5" t="s">
        <v>27</v>
      </c>
      <c r="L262" s="7">
        <v>24500</v>
      </c>
      <c r="M262" s="6">
        <v>43733</v>
      </c>
      <c r="N262" s="6">
        <v>43711</v>
      </c>
      <c r="P262" s="8">
        <f>L262-O262</f>
        <v>24500</v>
      </c>
      <c r="Q262" s="8" t="str">
        <f t="shared" si="2"/>
        <v>Não Pago</v>
      </c>
    </row>
    <row r="263" spans="1:17" x14ac:dyDescent="0.2">
      <c r="A263" s="5" t="s">
        <v>0</v>
      </c>
      <c r="B263" s="5">
        <v>628965</v>
      </c>
      <c r="C263" s="6">
        <v>43137</v>
      </c>
      <c r="D263" s="6">
        <v>43137</v>
      </c>
      <c r="E263" s="5" t="s">
        <v>65</v>
      </c>
      <c r="G263" s="5" t="s">
        <v>82</v>
      </c>
      <c r="H263" s="5" t="s">
        <v>67</v>
      </c>
      <c r="I263" s="5" t="s">
        <v>3</v>
      </c>
      <c r="J263" s="5" t="s">
        <v>68</v>
      </c>
      <c r="K263" s="5" t="s">
        <v>27</v>
      </c>
      <c r="L263" s="7">
        <v>21288</v>
      </c>
      <c r="M263" s="6">
        <v>43156</v>
      </c>
      <c r="N263" s="6">
        <v>43137</v>
      </c>
      <c r="P263" s="8">
        <f>L263-O263</f>
        <v>21288</v>
      </c>
      <c r="Q263" s="8" t="str">
        <f t="shared" si="2"/>
        <v>Não Pago</v>
      </c>
    </row>
    <row r="264" spans="1:17" x14ac:dyDescent="0.2">
      <c r="A264" s="5" t="s">
        <v>0</v>
      </c>
      <c r="B264" s="5">
        <v>636334</v>
      </c>
      <c r="C264" s="6">
        <v>43222</v>
      </c>
      <c r="D264" s="6">
        <v>43222</v>
      </c>
      <c r="E264" s="5" t="s">
        <v>65</v>
      </c>
      <c r="G264" s="5" t="s">
        <v>82</v>
      </c>
      <c r="H264" s="5" t="s">
        <v>2</v>
      </c>
      <c r="I264" s="5" t="s">
        <v>3</v>
      </c>
      <c r="J264" s="5" t="s">
        <v>68</v>
      </c>
      <c r="K264" s="5" t="s">
        <v>27</v>
      </c>
      <c r="L264" s="7">
        <v>18852</v>
      </c>
      <c r="M264" s="6">
        <v>43245</v>
      </c>
      <c r="N264" s="6">
        <v>43222</v>
      </c>
      <c r="P264" s="8">
        <f>L264-O264</f>
        <v>18852</v>
      </c>
      <c r="Q264" s="8" t="str">
        <f t="shared" si="2"/>
        <v>Não Pago</v>
      </c>
    </row>
    <row r="265" spans="1:17" x14ac:dyDescent="0.2">
      <c r="A265" s="5" t="s">
        <v>0</v>
      </c>
      <c r="B265" s="5">
        <v>703061</v>
      </c>
      <c r="C265" s="6">
        <v>43865</v>
      </c>
      <c r="D265" s="6">
        <v>43865</v>
      </c>
      <c r="E265" s="5" t="s">
        <v>65</v>
      </c>
      <c r="G265" s="5" t="s">
        <v>82</v>
      </c>
      <c r="H265" s="5" t="s">
        <v>2</v>
      </c>
      <c r="I265" s="5" t="s">
        <v>3</v>
      </c>
      <c r="J265" s="5" t="s">
        <v>7</v>
      </c>
      <c r="K265" s="5" t="s">
        <v>27</v>
      </c>
      <c r="L265" s="7">
        <v>18375</v>
      </c>
      <c r="M265" s="6">
        <v>43886</v>
      </c>
      <c r="N265" s="6">
        <v>43865</v>
      </c>
      <c r="P265" s="8">
        <f>L265-O265</f>
        <v>18375</v>
      </c>
      <c r="Q265" s="8" t="str">
        <f t="shared" si="2"/>
        <v>Não Pago</v>
      </c>
    </row>
    <row r="266" spans="1:17" x14ac:dyDescent="0.2">
      <c r="A266" s="5" t="s">
        <v>0</v>
      </c>
      <c r="B266" s="5">
        <v>699555</v>
      </c>
      <c r="C266" s="6">
        <v>43832</v>
      </c>
      <c r="D266" s="6">
        <v>43832</v>
      </c>
      <c r="E266" s="5" t="s">
        <v>65</v>
      </c>
      <c r="G266" s="5" t="s">
        <v>82</v>
      </c>
      <c r="H266" s="5" t="s">
        <v>2</v>
      </c>
      <c r="I266" s="5" t="s">
        <v>3</v>
      </c>
      <c r="J266" s="5" t="s">
        <v>7</v>
      </c>
      <c r="K266" s="5" t="s">
        <v>27</v>
      </c>
      <c r="L266" s="7">
        <v>14745</v>
      </c>
      <c r="M266" s="6">
        <v>43855</v>
      </c>
      <c r="N266" s="6">
        <v>43832</v>
      </c>
      <c r="P266" s="8">
        <f>L266-O266</f>
        <v>14745</v>
      </c>
      <c r="Q266" s="8" t="str">
        <f t="shared" si="2"/>
        <v>Não Pago</v>
      </c>
    </row>
    <row r="267" spans="1:17" x14ac:dyDescent="0.2">
      <c r="A267" s="5" t="s">
        <v>0</v>
      </c>
      <c r="B267" s="5">
        <v>683652</v>
      </c>
      <c r="C267" s="6">
        <v>43739</v>
      </c>
      <c r="D267" s="6">
        <v>43739</v>
      </c>
      <c r="E267" s="5" t="s">
        <v>65</v>
      </c>
      <c r="G267" s="5" t="s">
        <v>82</v>
      </c>
      <c r="H267" s="5" t="s">
        <v>2</v>
      </c>
      <c r="I267" s="5" t="s">
        <v>3</v>
      </c>
      <c r="J267" s="5" t="s">
        <v>7</v>
      </c>
      <c r="K267" s="5" t="s">
        <v>27</v>
      </c>
      <c r="L267" s="7">
        <v>14310</v>
      </c>
      <c r="M267" s="6">
        <v>43763</v>
      </c>
      <c r="N267" s="6">
        <v>43739</v>
      </c>
      <c r="P267" s="8">
        <f>L267-O267</f>
        <v>14310</v>
      </c>
      <c r="Q267" s="8" t="str">
        <f t="shared" si="2"/>
        <v>Não Pago</v>
      </c>
    </row>
    <row r="268" spans="1:17" x14ac:dyDescent="0.2">
      <c r="A268" s="5" t="s">
        <v>0</v>
      </c>
      <c r="B268" s="5">
        <v>677839</v>
      </c>
      <c r="C268" s="6">
        <v>43678</v>
      </c>
      <c r="D268" s="6">
        <v>43678</v>
      </c>
      <c r="E268" s="5" t="s">
        <v>65</v>
      </c>
      <c r="G268" s="5" t="s">
        <v>82</v>
      </c>
      <c r="H268" s="5" t="s">
        <v>2</v>
      </c>
      <c r="I268" s="5" t="s">
        <v>3</v>
      </c>
      <c r="J268" s="5" t="s">
        <v>7</v>
      </c>
      <c r="K268" s="5" t="s">
        <v>27</v>
      </c>
      <c r="L268" s="7">
        <v>14152</v>
      </c>
      <c r="M268" s="6">
        <v>43702</v>
      </c>
      <c r="N268" s="6">
        <v>43678</v>
      </c>
      <c r="P268" s="8">
        <f>L268-O268</f>
        <v>14152</v>
      </c>
      <c r="Q268" s="8" t="str">
        <f t="shared" si="2"/>
        <v>Não Pago</v>
      </c>
    </row>
    <row r="269" spans="1:17" x14ac:dyDescent="0.2">
      <c r="A269" s="5" t="s">
        <v>0</v>
      </c>
      <c r="B269" s="5">
        <v>710832</v>
      </c>
      <c r="C269" s="6">
        <v>43923</v>
      </c>
      <c r="D269" s="6">
        <v>43923</v>
      </c>
      <c r="E269" s="5" t="s">
        <v>65</v>
      </c>
      <c r="G269" s="5" t="s">
        <v>82</v>
      </c>
      <c r="H269" s="5" t="s">
        <v>2</v>
      </c>
      <c r="I269" s="5" t="s">
        <v>3</v>
      </c>
      <c r="J269" s="5" t="s">
        <v>6</v>
      </c>
      <c r="K269" s="5" t="s">
        <v>27</v>
      </c>
      <c r="L269" s="7">
        <v>12481</v>
      </c>
      <c r="M269" s="6">
        <v>43946</v>
      </c>
      <c r="N269" s="6">
        <v>43923</v>
      </c>
      <c r="P269" s="8">
        <f>L269-O269</f>
        <v>12481</v>
      </c>
      <c r="Q269" s="8" t="str">
        <f t="shared" si="2"/>
        <v>Não Pago</v>
      </c>
    </row>
    <row r="270" spans="1:17" x14ac:dyDescent="0.2">
      <c r="A270" s="5" t="s">
        <v>0</v>
      </c>
      <c r="B270" s="5">
        <v>683659</v>
      </c>
      <c r="C270" s="6">
        <v>43739</v>
      </c>
      <c r="D270" s="6">
        <v>43739</v>
      </c>
      <c r="E270" s="5" t="s">
        <v>65</v>
      </c>
      <c r="G270" s="5" t="s">
        <v>82</v>
      </c>
      <c r="H270" s="5" t="s">
        <v>2</v>
      </c>
      <c r="I270" s="5" t="s">
        <v>3</v>
      </c>
      <c r="J270" s="5" t="s">
        <v>7</v>
      </c>
      <c r="K270" s="5" t="s">
        <v>27</v>
      </c>
      <c r="L270" s="7">
        <v>11840</v>
      </c>
      <c r="M270" s="6">
        <v>43763</v>
      </c>
      <c r="N270" s="6">
        <v>43739</v>
      </c>
      <c r="P270" s="8">
        <f>L270-O270</f>
        <v>11840</v>
      </c>
      <c r="Q270" s="8" t="str">
        <f t="shared" si="2"/>
        <v>Não Pago</v>
      </c>
    </row>
    <row r="271" spans="1:17" x14ac:dyDescent="0.2">
      <c r="A271" s="5" t="s">
        <v>0</v>
      </c>
      <c r="B271" s="5">
        <v>681366</v>
      </c>
      <c r="C271" s="6">
        <v>43711</v>
      </c>
      <c r="D271" s="6">
        <v>43711</v>
      </c>
      <c r="E271" s="5" t="s">
        <v>65</v>
      </c>
      <c r="G271" s="5" t="s">
        <v>82</v>
      </c>
      <c r="H271" s="5" t="s">
        <v>2</v>
      </c>
      <c r="I271" s="5" t="s">
        <v>3</v>
      </c>
      <c r="J271" s="5" t="s">
        <v>7</v>
      </c>
      <c r="K271" s="5" t="s">
        <v>27</v>
      </c>
      <c r="L271" s="7">
        <v>10008</v>
      </c>
      <c r="M271" s="6">
        <v>43733</v>
      </c>
      <c r="N271" s="6">
        <v>43711</v>
      </c>
      <c r="P271" s="8">
        <f>L271-O271</f>
        <v>10008</v>
      </c>
      <c r="Q271" s="8" t="str">
        <f t="shared" si="2"/>
        <v>Não Pago</v>
      </c>
    </row>
    <row r="272" spans="1:17" x14ac:dyDescent="0.2">
      <c r="A272" s="5" t="s">
        <v>0</v>
      </c>
      <c r="B272" s="5">
        <v>687818</v>
      </c>
      <c r="C272" s="6">
        <v>43774</v>
      </c>
      <c r="D272" s="6">
        <v>43774</v>
      </c>
      <c r="E272" s="5" t="s">
        <v>65</v>
      </c>
      <c r="G272" s="5" t="s">
        <v>82</v>
      </c>
      <c r="H272" s="5" t="s">
        <v>90</v>
      </c>
      <c r="I272" s="5" t="s">
        <v>3</v>
      </c>
      <c r="J272" s="5" t="s">
        <v>7</v>
      </c>
      <c r="K272" s="5" t="s">
        <v>27</v>
      </c>
      <c r="L272" s="7">
        <v>9170</v>
      </c>
      <c r="M272" s="6">
        <v>43794</v>
      </c>
      <c r="N272" s="6">
        <v>43774</v>
      </c>
      <c r="P272" s="8">
        <f>L272-O272</f>
        <v>9170</v>
      </c>
      <c r="Q272" s="8" t="str">
        <f t="shared" si="2"/>
        <v>Não Pago</v>
      </c>
    </row>
    <row r="273" spans="1:19" x14ac:dyDescent="0.2">
      <c r="A273" s="5" t="s">
        <v>0</v>
      </c>
      <c r="B273" s="5">
        <v>722897</v>
      </c>
      <c r="C273" s="6">
        <v>44018</v>
      </c>
      <c r="D273" s="6">
        <v>44018</v>
      </c>
      <c r="E273" s="5" t="s">
        <v>65</v>
      </c>
      <c r="G273" s="5" t="s">
        <v>82</v>
      </c>
      <c r="H273" s="5" t="s">
        <v>2</v>
      </c>
      <c r="I273" s="5" t="s">
        <v>3</v>
      </c>
      <c r="J273" s="5" t="s">
        <v>6</v>
      </c>
      <c r="K273" s="5" t="s">
        <v>27</v>
      </c>
      <c r="L273" s="7">
        <v>9072</v>
      </c>
      <c r="M273" s="6">
        <v>44037</v>
      </c>
      <c r="N273" s="6">
        <v>44018</v>
      </c>
      <c r="P273" s="8">
        <f>L273-O273</f>
        <v>9072</v>
      </c>
      <c r="Q273" s="8" t="str">
        <f t="shared" si="2"/>
        <v>Não Pago</v>
      </c>
    </row>
    <row r="274" spans="1:19" x14ac:dyDescent="0.2">
      <c r="A274" s="5" t="s">
        <v>0</v>
      </c>
      <c r="B274" s="5">
        <v>740017</v>
      </c>
      <c r="C274" s="6">
        <v>44145</v>
      </c>
      <c r="D274" s="6">
        <v>44145</v>
      </c>
      <c r="E274" s="5" t="s">
        <v>65</v>
      </c>
      <c r="G274" s="5" t="s">
        <v>82</v>
      </c>
      <c r="H274" s="5" t="s">
        <v>2</v>
      </c>
      <c r="I274" s="5" t="s">
        <v>3</v>
      </c>
      <c r="J274" s="5" t="s">
        <v>6</v>
      </c>
      <c r="K274" s="5" t="s">
        <v>27</v>
      </c>
      <c r="L274" s="7">
        <v>8475</v>
      </c>
      <c r="M274" s="6">
        <v>44160</v>
      </c>
      <c r="N274" s="6">
        <v>44145</v>
      </c>
      <c r="P274" s="8">
        <f>L274-O274</f>
        <v>8475</v>
      </c>
      <c r="Q274" s="8" t="str">
        <f t="shared" si="2"/>
        <v>Não Pago</v>
      </c>
    </row>
    <row r="275" spans="1:19" x14ac:dyDescent="0.2">
      <c r="A275" s="5" t="s">
        <v>0</v>
      </c>
      <c r="B275" s="5">
        <v>730543</v>
      </c>
      <c r="C275" s="6">
        <v>44076</v>
      </c>
      <c r="D275" s="6">
        <v>44076</v>
      </c>
      <c r="E275" s="5" t="s">
        <v>65</v>
      </c>
      <c r="G275" s="5" t="s">
        <v>82</v>
      </c>
      <c r="H275" s="5" t="s">
        <v>2</v>
      </c>
      <c r="I275" s="5" t="s">
        <v>3</v>
      </c>
      <c r="J275" s="5" t="s">
        <v>6</v>
      </c>
      <c r="K275" s="5" t="s">
        <v>27</v>
      </c>
      <c r="L275" s="7">
        <v>7682</v>
      </c>
      <c r="M275" s="6">
        <v>44099</v>
      </c>
      <c r="N275" s="6">
        <v>44076</v>
      </c>
      <c r="P275" s="8">
        <f>L275-O275</f>
        <v>7682</v>
      </c>
      <c r="Q275" s="8" t="str">
        <f t="shared" si="2"/>
        <v>Não Pago</v>
      </c>
    </row>
    <row r="276" spans="1:19" x14ac:dyDescent="0.2">
      <c r="A276" s="5" t="s">
        <v>0</v>
      </c>
      <c r="B276" s="5">
        <v>703058</v>
      </c>
      <c r="C276" s="6">
        <v>43865</v>
      </c>
      <c r="D276" s="6">
        <v>43865</v>
      </c>
      <c r="E276" s="5" t="s">
        <v>65</v>
      </c>
      <c r="G276" s="5" t="s">
        <v>82</v>
      </c>
      <c r="H276" s="5" t="s">
        <v>2</v>
      </c>
      <c r="I276" s="5" t="s">
        <v>3</v>
      </c>
      <c r="J276" s="5" t="s">
        <v>7</v>
      </c>
      <c r="K276" s="5" t="s">
        <v>27</v>
      </c>
      <c r="L276" s="7">
        <v>5628</v>
      </c>
      <c r="M276" s="6">
        <v>43886</v>
      </c>
      <c r="N276" s="6">
        <v>43865</v>
      </c>
      <c r="P276" s="8">
        <f>L276-O276</f>
        <v>5628</v>
      </c>
      <c r="Q276" s="8" t="str">
        <f t="shared" si="2"/>
        <v>Não Pago</v>
      </c>
    </row>
    <row r="277" spans="1:19" x14ac:dyDescent="0.2">
      <c r="A277" s="5" t="s">
        <v>0</v>
      </c>
      <c r="B277" s="5">
        <v>633251</v>
      </c>
      <c r="C277" s="6">
        <v>43194</v>
      </c>
      <c r="D277" s="6">
        <v>43194</v>
      </c>
      <c r="E277" s="5" t="s">
        <v>65</v>
      </c>
      <c r="G277" s="5" t="s">
        <v>82</v>
      </c>
      <c r="H277" s="5" t="s">
        <v>2</v>
      </c>
      <c r="I277" s="5" t="s">
        <v>3</v>
      </c>
      <c r="J277" s="5" t="s">
        <v>68</v>
      </c>
      <c r="K277" s="5" t="s">
        <v>27</v>
      </c>
      <c r="L277" s="7">
        <v>5400</v>
      </c>
      <c r="M277" s="6">
        <v>43215</v>
      </c>
      <c r="N277" s="6">
        <v>43194</v>
      </c>
      <c r="P277" s="8">
        <f>L277-O277</f>
        <v>5400</v>
      </c>
      <c r="Q277" s="8" t="str">
        <f t="shared" si="2"/>
        <v>Não Pago</v>
      </c>
    </row>
    <row r="278" spans="1:19" x14ac:dyDescent="0.2">
      <c r="A278" s="5" t="s">
        <v>0</v>
      </c>
      <c r="B278" s="5">
        <v>638950</v>
      </c>
      <c r="C278" s="6">
        <v>43253</v>
      </c>
      <c r="D278" s="6">
        <v>43253</v>
      </c>
      <c r="E278" s="5" t="s">
        <v>65</v>
      </c>
      <c r="G278" s="5" t="s">
        <v>82</v>
      </c>
      <c r="H278" s="5" t="s">
        <v>67</v>
      </c>
      <c r="I278" s="5" t="s">
        <v>3</v>
      </c>
      <c r="J278" s="5" t="s">
        <v>68</v>
      </c>
      <c r="K278" s="5" t="s">
        <v>27</v>
      </c>
      <c r="L278" s="7">
        <v>5340</v>
      </c>
      <c r="M278" s="6">
        <v>43276</v>
      </c>
      <c r="N278" s="6">
        <v>43253</v>
      </c>
      <c r="P278" s="8">
        <f>L278-O278</f>
        <v>5340</v>
      </c>
      <c r="Q278" s="8" t="str">
        <f t="shared" si="2"/>
        <v>Não Pago</v>
      </c>
    </row>
    <row r="279" spans="1:19" x14ac:dyDescent="0.2">
      <c r="A279" s="5" t="s">
        <v>0</v>
      </c>
      <c r="B279" s="5">
        <v>631195</v>
      </c>
      <c r="C279" s="6">
        <v>43173</v>
      </c>
      <c r="D279" s="6">
        <v>43173</v>
      </c>
      <c r="E279" s="5" t="s">
        <v>65</v>
      </c>
      <c r="G279" s="5" t="s">
        <v>82</v>
      </c>
      <c r="H279" s="5" t="s">
        <v>67</v>
      </c>
      <c r="I279" s="5" t="s">
        <v>3</v>
      </c>
      <c r="J279" s="5" t="s">
        <v>68</v>
      </c>
      <c r="K279" s="5" t="s">
        <v>27</v>
      </c>
      <c r="L279" s="7">
        <v>5316</v>
      </c>
      <c r="M279" s="6">
        <v>43184</v>
      </c>
      <c r="N279" s="6">
        <v>43173</v>
      </c>
      <c r="P279" s="8">
        <f>L279-O279</f>
        <v>5316</v>
      </c>
      <c r="Q279" s="8" t="str">
        <f t="shared" si="2"/>
        <v>Não Pago</v>
      </c>
    </row>
    <row r="280" spans="1:19" x14ac:dyDescent="0.2">
      <c r="A280" s="5" t="s">
        <v>0</v>
      </c>
      <c r="B280" s="5">
        <v>722898</v>
      </c>
      <c r="C280" s="6">
        <v>44018</v>
      </c>
      <c r="D280" s="6">
        <v>44018</v>
      </c>
      <c r="E280" s="5" t="s">
        <v>65</v>
      </c>
      <c r="G280" s="5" t="s">
        <v>82</v>
      </c>
      <c r="H280" s="5" t="s">
        <v>2</v>
      </c>
      <c r="I280" s="5" t="s">
        <v>3</v>
      </c>
      <c r="J280" s="5" t="s">
        <v>6</v>
      </c>
      <c r="K280" s="5" t="s">
        <v>27</v>
      </c>
      <c r="L280" s="7">
        <v>4580</v>
      </c>
      <c r="M280" s="6">
        <v>44037</v>
      </c>
      <c r="N280" s="6">
        <v>44018</v>
      </c>
      <c r="P280" s="8">
        <f>L280-O280</f>
        <v>4580</v>
      </c>
      <c r="Q280" s="8" t="str">
        <f t="shared" si="2"/>
        <v>Não Pago</v>
      </c>
    </row>
    <row r="281" spans="1:19" x14ac:dyDescent="0.2">
      <c r="A281" s="5" t="s">
        <v>0</v>
      </c>
      <c r="B281" s="5">
        <v>710831</v>
      </c>
      <c r="C281" s="6">
        <v>43923</v>
      </c>
      <c r="D281" s="6">
        <v>43923</v>
      </c>
      <c r="E281" s="5" t="s">
        <v>65</v>
      </c>
      <c r="G281" s="5" t="s">
        <v>82</v>
      </c>
      <c r="H281" s="5" t="s">
        <v>2</v>
      </c>
      <c r="I281" s="5" t="s">
        <v>3</v>
      </c>
      <c r="J281" s="5" t="s">
        <v>6</v>
      </c>
      <c r="K281" s="5" t="s">
        <v>27</v>
      </c>
      <c r="L281" s="7">
        <v>3941</v>
      </c>
      <c r="M281" s="6">
        <v>43946</v>
      </c>
      <c r="N281" s="6">
        <v>43923</v>
      </c>
      <c r="P281" s="8">
        <f>L281-O281</f>
        <v>3941</v>
      </c>
      <c r="Q281" s="8" t="str">
        <f t="shared" si="2"/>
        <v>Não Pago</v>
      </c>
    </row>
    <row r="282" spans="1:19" x14ac:dyDescent="0.2">
      <c r="A282" s="5" t="s">
        <v>0</v>
      </c>
      <c r="B282" s="5">
        <v>734061</v>
      </c>
      <c r="C282" s="6">
        <v>44110</v>
      </c>
      <c r="D282" s="6">
        <v>44110</v>
      </c>
      <c r="E282" s="5" t="s">
        <v>65</v>
      </c>
      <c r="G282" s="5" t="s">
        <v>82</v>
      </c>
      <c r="H282" s="5" t="s">
        <v>2</v>
      </c>
      <c r="I282" s="5" t="s">
        <v>3</v>
      </c>
      <c r="J282" s="5" t="s">
        <v>6</v>
      </c>
      <c r="K282" s="5" t="s">
        <v>27</v>
      </c>
      <c r="L282" s="7">
        <v>3730</v>
      </c>
      <c r="M282" s="6">
        <v>44129</v>
      </c>
      <c r="N282" s="6">
        <v>44110</v>
      </c>
      <c r="P282" s="8">
        <f>L282-O282</f>
        <v>3730</v>
      </c>
      <c r="Q282" s="8" t="str">
        <f t="shared" si="2"/>
        <v>Não Pago</v>
      </c>
    </row>
    <row r="283" spans="1:19" x14ac:dyDescent="0.2">
      <c r="A283" s="5" t="s">
        <v>0</v>
      </c>
      <c r="B283" s="5">
        <v>707120</v>
      </c>
      <c r="C283" s="6">
        <v>43892</v>
      </c>
      <c r="D283" s="6">
        <v>43892</v>
      </c>
      <c r="E283" s="5" t="s">
        <v>65</v>
      </c>
      <c r="G283" s="5" t="s">
        <v>82</v>
      </c>
      <c r="H283" s="5" t="s">
        <v>2</v>
      </c>
      <c r="I283" s="5" t="s">
        <v>3</v>
      </c>
      <c r="J283" s="5" t="s">
        <v>91</v>
      </c>
      <c r="K283" s="5" t="s">
        <v>27</v>
      </c>
      <c r="L283" s="7">
        <v>3304</v>
      </c>
      <c r="M283" s="6">
        <v>43915</v>
      </c>
      <c r="N283" s="6">
        <v>43892</v>
      </c>
      <c r="P283" s="8">
        <f>L283-O283</f>
        <v>3304</v>
      </c>
      <c r="Q283" s="8" t="str">
        <f t="shared" si="2"/>
        <v>Não Pago</v>
      </c>
    </row>
    <row r="284" spans="1:19" x14ac:dyDescent="0.2">
      <c r="A284" s="5" t="s">
        <v>0</v>
      </c>
      <c r="B284" s="5">
        <v>714428</v>
      </c>
      <c r="C284" s="6">
        <v>43952</v>
      </c>
      <c r="D284" s="6">
        <v>43952</v>
      </c>
      <c r="E284" s="5" t="s">
        <v>65</v>
      </c>
      <c r="G284" s="5" t="s">
        <v>82</v>
      </c>
      <c r="H284" s="5" t="s">
        <v>2</v>
      </c>
      <c r="I284" s="5" t="s">
        <v>3</v>
      </c>
      <c r="J284" s="5" t="s">
        <v>6</v>
      </c>
      <c r="K284" s="5" t="s">
        <v>27</v>
      </c>
      <c r="L284" s="7">
        <v>2814</v>
      </c>
      <c r="M284" s="6">
        <v>43976</v>
      </c>
      <c r="N284" s="6">
        <v>43952</v>
      </c>
      <c r="P284" s="8">
        <f>L284-O284</f>
        <v>2814</v>
      </c>
      <c r="Q284" s="8" t="str">
        <f t="shared" si="2"/>
        <v>Não Pago</v>
      </c>
    </row>
    <row r="285" spans="1:19" x14ac:dyDescent="0.2">
      <c r="A285" s="5" t="s">
        <v>0</v>
      </c>
      <c r="B285" s="5">
        <v>707121</v>
      </c>
      <c r="C285" s="6">
        <v>43892</v>
      </c>
      <c r="D285" s="6">
        <v>43892</v>
      </c>
      <c r="E285" s="5" t="s">
        <v>65</v>
      </c>
      <c r="G285" s="5" t="s">
        <v>82</v>
      </c>
      <c r="H285" s="5" t="s">
        <v>2</v>
      </c>
      <c r="I285" s="5" t="s">
        <v>3</v>
      </c>
      <c r="J285" s="5" t="s">
        <v>91</v>
      </c>
      <c r="K285" s="5" t="s">
        <v>27</v>
      </c>
      <c r="L285" s="7">
        <v>1530</v>
      </c>
      <c r="M285" s="6">
        <v>43915</v>
      </c>
      <c r="N285" s="6">
        <v>43892</v>
      </c>
      <c r="P285" s="8">
        <f>L285-O285</f>
        <v>1530</v>
      </c>
      <c r="Q285" s="8" t="str">
        <f t="shared" si="2"/>
        <v>Não Pago</v>
      </c>
    </row>
    <row r="286" spans="1:19" x14ac:dyDescent="0.2">
      <c r="A286" s="5" t="s">
        <v>0</v>
      </c>
      <c r="B286" s="5">
        <v>683653</v>
      </c>
      <c r="C286" s="6">
        <v>43739</v>
      </c>
      <c r="D286" s="6">
        <v>43739</v>
      </c>
      <c r="E286" s="5" t="s">
        <v>65</v>
      </c>
      <c r="G286" s="5" t="s">
        <v>82</v>
      </c>
      <c r="H286" s="5" t="s">
        <v>2</v>
      </c>
      <c r="I286" s="5" t="s">
        <v>3</v>
      </c>
      <c r="J286" s="5" t="s">
        <v>7</v>
      </c>
      <c r="K286" s="5" t="s">
        <v>27</v>
      </c>
      <c r="L286" s="7">
        <v>1410</v>
      </c>
      <c r="M286" s="6">
        <v>43763</v>
      </c>
      <c r="N286" s="6">
        <v>43739</v>
      </c>
      <c r="P286" s="8">
        <f>L286-O286</f>
        <v>1410</v>
      </c>
      <c r="Q286" s="8" t="str">
        <f t="shared" si="2"/>
        <v>Não Pago</v>
      </c>
    </row>
    <row r="287" spans="1:19" x14ac:dyDescent="0.2">
      <c r="A287" s="5" t="s">
        <v>0</v>
      </c>
      <c r="B287" s="5">
        <v>681363</v>
      </c>
      <c r="C287" s="6">
        <v>43711</v>
      </c>
      <c r="D287" s="6">
        <v>43711</v>
      </c>
      <c r="E287" s="5" t="s">
        <v>65</v>
      </c>
      <c r="G287" s="5" t="s">
        <v>82</v>
      </c>
      <c r="H287" s="5" t="s">
        <v>2</v>
      </c>
      <c r="I287" s="5" t="s">
        <v>3</v>
      </c>
      <c r="J287" s="5" t="s">
        <v>7</v>
      </c>
      <c r="K287" s="5" t="s">
        <v>27</v>
      </c>
      <c r="L287" s="7">
        <v>1370</v>
      </c>
      <c r="M287" s="6">
        <v>43733</v>
      </c>
      <c r="N287" s="6">
        <v>43711</v>
      </c>
      <c r="P287" s="8">
        <f>L287-O287</f>
        <v>1370</v>
      </c>
      <c r="Q287" s="8" t="str">
        <f t="shared" si="2"/>
        <v>Não Pago</v>
      </c>
    </row>
    <row r="288" spans="1:19" x14ac:dyDescent="0.2">
      <c r="A288" s="5" t="s">
        <v>0</v>
      </c>
      <c r="B288" s="5">
        <v>244121</v>
      </c>
      <c r="C288" s="6">
        <v>40954</v>
      </c>
      <c r="D288" s="6">
        <v>40954</v>
      </c>
      <c r="E288" s="5" t="s">
        <v>65</v>
      </c>
      <c r="F288" s="5">
        <v>109560</v>
      </c>
      <c r="G288" s="5" t="s">
        <v>66</v>
      </c>
      <c r="H288" s="5" t="s">
        <v>67</v>
      </c>
      <c r="I288" s="5" t="s">
        <v>3</v>
      </c>
      <c r="J288" s="5" t="s">
        <v>68</v>
      </c>
      <c r="K288" s="5" t="s">
        <v>27</v>
      </c>
      <c r="L288" s="7">
        <v>300</v>
      </c>
      <c r="M288" s="6">
        <v>40983</v>
      </c>
      <c r="N288" s="6">
        <v>40954</v>
      </c>
      <c r="P288" s="8">
        <f>L288-O288</f>
        <v>300</v>
      </c>
      <c r="Q288" s="8" t="str">
        <f t="shared" si="2"/>
        <v>Não Pago</v>
      </c>
      <c r="S288" s="5" t="s">
        <v>75</v>
      </c>
    </row>
  </sheetData>
  <autoFilter ref="A2:S288" xr:uid="{A95F5538-CBC6-4479-95B5-86AB03C66D04}">
    <sortState xmlns:xlrd2="http://schemas.microsoft.com/office/spreadsheetml/2017/richdata2" ref="A3:S180">
      <sortCondition ref="M2:M2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FDA0-114B-441C-801D-1D9FE80AE64D}">
  <dimension ref="A1:U35"/>
  <sheetViews>
    <sheetView showGridLines="0" topLeftCell="F1" workbookViewId="0">
      <selection activeCell="Q1" sqref="L1:Q1"/>
    </sheetView>
  </sheetViews>
  <sheetFormatPr baseColWidth="10" defaultColWidth="8.83203125" defaultRowHeight="15" x14ac:dyDescent="0.2"/>
  <cols>
    <col min="1" max="1" width="15.83203125" style="5" bestFit="1" customWidth="1"/>
    <col min="2" max="2" width="7.33203125" style="5" bestFit="1" customWidth="1"/>
    <col min="3" max="3" width="10.33203125" style="5" bestFit="1" customWidth="1"/>
    <col min="4" max="4" width="11.1640625" style="5" bestFit="1" customWidth="1"/>
    <col min="5" max="5" width="30.5" style="5" bestFit="1" customWidth="1"/>
    <col min="6" max="6" width="11.1640625" style="5" bestFit="1" customWidth="1"/>
    <col min="7" max="7" width="23.83203125" style="5" bestFit="1" customWidth="1"/>
    <col min="8" max="8" width="20.5" style="5" bestFit="1" customWidth="1"/>
    <col min="9" max="9" width="13.83203125" style="5" bestFit="1" customWidth="1"/>
    <col min="10" max="10" width="16.83203125" style="5" bestFit="1" customWidth="1"/>
    <col min="11" max="11" width="40.5" style="5" bestFit="1" customWidth="1"/>
    <col min="12" max="12" width="10.5" style="5" bestFit="1" customWidth="1"/>
    <col min="13" max="13" width="15.1640625" style="5" bestFit="1" customWidth="1"/>
    <col min="14" max="14" width="14.33203125" style="5" bestFit="1" customWidth="1"/>
    <col min="15" max="15" width="19.33203125" style="5" bestFit="1" customWidth="1"/>
    <col min="16" max="16" width="19.5" style="5" bestFit="1" customWidth="1"/>
    <col min="17" max="17" width="25.5" style="5" bestFit="1" customWidth="1"/>
    <col min="18" max="18" width="65.5" style="5" bestFit="1" customWidth="1"/>
    <col min="19" max="21" width="8.83203125" style="5"/>
  </cols>
  <sheetData>
    <row r="1" spans="1:21" x14ac:dyDescent="0.2">
      <c r="L1" s="5">
        <f>SUBTOTAL(9,L3:L35)</f>
        <v>6333795.6000000015</v>
      </c>
      <c r="O1" s="5">
        <f>SUBTOTAL(9,O3:O35)</f>
        <v>6333795.6000000015</v>
      </c>
      <c r="Q1" s="5">
        <f>L1-O1</f>
        <v>0</v>
      </c>
    </row>
    <row r="2" spans="1:21" s="1" customForma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9</v>
      </c>
      <c r="F2" s="2" t="s">
        <v>10</v>
      </c>
      <c r="G2" s="2" t="s">
        <v>11</v>
      </c>
      <c r="H2" s="2" t="s">
        <v>16</v>
      </c>
      <c r="I2" s="2" t="s">
        <v>17</v>
      </c>
      <c r="J2" s="2" t="s">
        <v>18</v>
      </c>
      <c r="K2" s="2" t="s">
        <v>19</v>
      </c>
      <c r="L2" s="4" t="s">
        <v>20</v>
      </c>
      <c r="M2" s="2" t="s">
        <v>21</v>
      </c>
      <c r="N2" s="2" t="s">
        <v>22</v>
      </c>
      <c r="O2" s="4" t="s">
        <v>23</v>
      </c>
      <c r="P2" s="4" t="s">
        <v>24</v>
      </c>
      <c r="Q2" s="2" t="s">
        <v>25</v>
      </c>
      <c r="R2" s="2" t="s">
        <v>26</v>
      </c>
      <c r="S2" s="9"/>
      <c r="T2" s="9"/>
      <c r="U2" s="9"/>
    </row>
    <row r="3" spans="1:21" x14ac:dyDescent="0.2">
      <c r="A3" s="5" t="s">
        <v>0</v>
      </c>
      <c r="B3" s="5">
        <v>711439</v>
      </c>
      <c r="C3" s="6">
        <v>43951</v>
      </c>
      <c r="D3" s="6">
        <v>43951</v>
      </c>
      <c r="E3" s="5" t="s">
        <v>1</v>
      </c>
      <c r="F3" s="5">
        <v>11376</v>
      </c>
      <c r="G3" s="5" t="s">
        <v>5</v>
      </c>
      <c r="H3" s="5" t="s">
        <v>2</v>
      </c>
      <c r="I3" s="5" t="s">
        <v>3</v>
      </c>
      <c r="J3" s="5" t="s">
        <v>6</v>
      </c>
      <c r="K3" s="5" t="s">
        <v>32</v>
      </c>
      <c r="L3" s="5">
        <v>30000</v>
      </c>
      <c r="M3" s="6">
        <v>43951</v>
      </c>
      <c r="N3" s="6">
        <v>43951</v>
      </c>
      <c r="O3" s="5">
        <v>30000</v>
      </c>
      <c r="P3" s="5">
        <v>30000</v>
      </c>
      <c r="Q3" s="5" t="s">
        <v>8</v>
      </c>
      <c r="R3" s="5" t="s">
        <v>33</v>
      </c>
    </row>
    <row r="4" spans="1:21" x14ac:dyDescent="0.2">
      <c r="A4" s="5" t="s">
        <v>0</v>
      </c>
      <c r="B4" s="5">
        <v>715056</v>
      </c>
      <c r="C4" s="6">
        <v>43977</v>
      </c>
      <c r="D4" s="6">
        <v>43977</v>
      </c>
      <c r="E4" s="5" t="s">
        <v>1</v>
      </c>
      <c r="F4" s="5">
        <v>12603</v>
      </c>
      <c r="G4" s="5" t="s">
        <v>5</v>
      </c>
      <c r="H4" s="5" t="s">
        <v>2</v>
      </c>
      <c r="I4" s="5" t="s">
        <v>3</v>
      </c>
      <c r="J4" s="5" t="s">
        <v>6</v>
      </c>
      <c r="K4" s="5" t="s">
        <v>32</v>
      </c>
      <c r="L4" s="5">
        <v>30000</v>
      </c>
      <c r="M4" s="6">
        <v>43981</v>
      </c>
      <c r="N4" s="6">
        <v>43977</v>
      </c>
      <c r="O4" s="5">
        <v>30000</v>
      </c>
      <c r="P4" s="5">
        <v>30000</v>
      </c>
      <c r="Q4" s="5" t="s">
        <v>8</v>
      </c>
      <c r="R4" s="5" t="s">
        <v>34</v>
      </c>
    </row>
    <row r="5" spans="1:21" x14ac:dyDescent="0.2">
      <c r="A5" s="5" t="s">
        <v>0</v>
      </c>
      <c r="B5" s="5">
        <v>719528</v>
      </c>
      <c r="C5" s="6">
        <v>44008</v>
      </c>
      <c r="D5" s="6">
        <v>44008</v>
      </c>
      <c r="E5" s="5" t="s">
        <v>1</v>
      </c>
      <c r="F5" s="5">
        <v>13871</v>
      </c>
      <c r="G5" s="5" t="s">
        <v>5</v>
      </c>
      <c r="H5" s="5" t="s">
        <v>2</v>
      </c>
      <c r="I5" s="5" t="s">
        <v>3</v>
      </c>
      <c r="J5" s="5" t="s">
        <v>6</v>
      </c>
      <c r="K5" s="5" t="s">
        <v>32</v>
      </c>
      <c r="L5" s="5">
        <v>30000</v>
      </c>
      <c r="M5" s="6">
        <v>44012</v>
      </c>
      <c r="N5" s="6">
        <v>44008</v>
      </c>
      <c r="O5" s="5">
        <v>30000</v>
      </c>
      <c r="P5" s="5">
        <v>30000</v>
      </c>
      <c r="Q5" s="5" t="s">
        <v>8</v>
      </c>
      <c r="R5" s="5" t="s">
        <v>35</v>
      </c>
    </row>
    <row r="6" spans="1:21" x14ac:dyDescent="0.2">
      <c r="A6" s="5" t="s">
        <v>0</v>
      </c>
      <c r="B6" s="5">
        <v>723473</v>
      </c>
      <c r="C6" s="6">
        <v>44043</v>
      </c>
      <c r="D6" s="6">
        <v>44043</v>
      </c>
      <c r="E6" s="5" t="s">
        <v>1</v>
      </c>
      <c r="F6" s="5">
        <v>15274</v>
      </c>
      <c r="G6" s="5" t="s">
        <v>5</v>
      </c>
      <c r="H6" s="5" t="s">
        <v>2</v>
      </c>
      <c r="I6" s="5" t="s">
        <v>3</v>
      </c>
      <c r="J6" s="5" t="s">
        <v>6</v>
      </c>
      <c r="K6" s="5" t="s">
        <v>32</v>
      </c>
      <c r="L6" s="5">
        <v>102500</v>
      </c>
      <c r="M6" s="6">
        <v>44043</v>
      </c>
      <c r="N6" s="6">
        <v>44043</v>
      </c>
      <c r="O6" s="5">
        <v>102500</v>
      </c>
      <c r="P6" s="5">
        <v>102500</v>
      </c>
      <c r="Q6" s="5" t="s">
        <v>8</v>
      </c>
      <c r="R6" s="5" t="s">
        <v>36</v>
      </c>
    </row>
    <row r="7" spans="1:21" x14ac:dyDescent="0.2">
      <c r="A7" s="5" t="s">
        <v>0</v>
      </c>
      <c r="B7" s="5">
        <v>727382</v>
      </c>
      <c r="C7" s="6">
        <v>44074</v>
      </c>
      <c r="D7" s="6">
        <v>44074</v>
      </c>
      <c r="E7" s="5" t="s">
        <v>1</v>
      </c>
      <c r="F7" s="5">
        <v>16596</v>
      </c>
      <c r="G7" s="5" t="s">
        <v>5</v>
      </c>
      <c r="H7" s="5" t="s">
        <v>2</v>
      </c>
      <c r="I7" s="5" t="s">
        <v>3</v>
      </c>
      <c r="J7" s="5" t="s">
        <v>6</v>
      </c>
      <c r="K7" s="5" t="s">
        <v>32</v>
      </c>
      <c r="L7" s="5">
        <v>100000</v>
      </c>
      <c r="M7" s="6">
        <v>44074</v>
      </c>
      <c r="N7" s="6">
        <v>44074</v>
      </c>
      <c r="O7" s="5">
        <v>100000</v>
      </c>
      <c r="P7" s="5">
        <v>100000</v>
      </c>
      <c r="Q7" s="5" t="s">
        <v>8</v>
      </c>
      <c r="R7" s="5" t="s">
        <v>37</v>
      </c>
    </row>
    <row r="8" spans="1:21" x14ac:dyDescent="0.2">
      <c r="A8" s="5" t="s">
        <v>0</v>
      </c>
      <c r="B8" s="5">
        <v>731252</v>
      </c>
      <c r="C8" s="6">
        <v>44104</v>
      </c>
      <c r="D8" s="6">
        <v>44104</v>
      </c>
      <c r="E8" s="5" t="s">
        <v>1</v>
      </c>
      <c r="F8" s="5">
        <v>17971</v>
      </c>
      <c r="G8" s="5" t="s">
        <v>5</v>
      </c>
      <c r="H8" s="5" t="s">
        <v>2</v>
      </c>
      <c r="I8" s="5" t="s">
        <v>3</v>
      </c>
      <c r="J8" s="5" t="s">
        <v>6</v>
      </c>
      <c r="K8" s="5" t="s">
        <v>32</v>
      </c>
      <c r="L8" s="5">
        <v>100000</v>
      </c>
      <c r="M8" s="6">
        <v>44104</v>
      </c>
      <c r="N8" s="6">
        <v>44104</v>
      </c>
      <c r="O8" s="5">
        <v>100000</v>
      </c>
      <c r="P8" s="5">
        <v>100000</v>
      </c>
      <c r="Q8" s="5" t="s">
        <v>8</v>
      </c>
      <c r="R8" s="5" t="s">
        <v>38</v>
      </c>
    </row>
    <row r="9" spans="1:21" x14ac:dyDescent="0.2">
      <c r="A9" s="5" t="s">
        <v>0</v>
      </c>
      <c r="B9" s="5">
        <v>735396</v>
      </c>
      <c r="C9" s="6">
        <v>44134</v>
      </c>
      <c r="D9" s="6">
        <v>44134</v>
      </c>
      <c r="E9" s="5" t="s">
        <v>1</v>
      </c>
      <c r="F9" s="5">
        <v>19404</v>
      </c>
      <c r="G9" s="5" t="s">
        <v>5</v>
      </c>
      <c r="H9" s="5" t="s">
        <v>2</v>
      </c>
      <c r="I9" s="5" t="s">
        <v>3</v>
      </c>
      <c r="J9" s="5" t="s">
        <v>6</v>
      </c>
      <c r="K9" s="5" t="s">
        <v>32</v>
      </c>
      <c r="L9" s="5">
        <v>400000</v>
      </c>
      <c r="M9" s="6">
        <v>44134</v>
      </c>
      <c r="N9" s="6">
        <v>44134</v>
      </c>
      <c r="O9" s="5">
        <v>400000</v>
      </c>
      <c r="P9" s="5">
        <v>200000</v>
      </c>
      <c r="Q9" s="5" t="s">
        <v>8</v>
      </c>
      <c r="R9" s="5" t="s">
        <v>39</v>
      </c>
    </row>
    <row r="10" spans="1:21" x14ac:dyDescent="0.2">
      <c r="A10" s="5" t="s">
        <v>0</v>
      </c>
      <c r="B10" s="5">
        <v>740283</v>
      </c>
      <c r="C10" s="6">
        <v>44165</v>
      </c>
      <c r="D10" s="6">
        <v>44165</v>
      </c>
      <c r="E10" s="5" t="s">
        <v>1</v>
      </c>
      <c r="F10" s="5">
        <v>21724</v>
      </c>
      <c r="G10" s="5" t="s">
        <v>5</v>
      </c>
      <c r="H10" s="5" t="s">
        <v>2</v>
      </c>
      <c r="I10" s="5" t="s">
        <v>3</v>
      </c>
      <c r="J10" s="5" t="s">
        <v>6</v>
      </c>
      <c r="K10" s="5" t="s">
        <v>32</v>
      </c>
      <c r="L10" s="5">
        <v>90000</v>
      </c>
      <c r="M10" s="6">
        <v>44165</v>
      </c>
      <c r="N10" s="6">
        <v>44165</v>
      </c>
      <c r="O10" s="5">
        <v>90000</v>
      </c>
      <c r="P10" s="5">
        <v>90000</v>
      </c>
      <c r="Q10" s="5" t="s">
        <v>8</v>
      </c>
      <c r="R10" s="5" t="s">
        <v>40</v>
      </c>
    </row>
    <row r="11" spans="1:21" x14ac:dyDescent="0.2">
      <c r="A11" s="5" t="s">
        <v>0</v>
      </c>
      <c r="B11" s="5">
        <v>741211</v>
      </c>
      <c r="C11" s="6">
        <v>44166</v>
      </c>
      <c r="D11" s="6">
        <v>44166</v>
      </c>
      <c r="E11" s="5" t="s">
        <v>1</v>
      </c>
      <c r="F11" s="5">
        <v>22171</v>
      </c>
      <c r="G11" s="5" t="s">
        <v>5</v>
      </c>
      <c r="H11" s="5" t="s">
        <v>2</v>
      </c>
      <c r="I11" s="5" t="s">
        <v>3</v>
      </c>
      <c r="J11" s="5" t="s">
        <v>6</v>
      </c>
      <c r="K11" s="5" t="s">
        <v>32</v>
      </c>
      <c r="L11" s="5">
        <v>60000</v>
      </c>
      <c r="M11" s="6">
        <v>44190</v>
      </c>
      <c r="N11" s="6">
        <v>44167</v>
      </c>
      <c r="O11" s="5">
        <v>60000</v>
      </c>
      <c r="P11" s="5">
        <v>60000</v>
      </c>
      <c r="Q11" s="5" t="s">
        <v>8</v>
      </c>
      <c r="R11" s="5" t="s">
        <v>41</v>
      </c>
    </row>
    <row r="12" spans="1:21" x14ac:dyDescent="0.2">
      <c r="A12" s="5" t="s">
        <v>0</v>
      </c>
      <c r="B12" s="5">
        <v>744976</v>
      </c>
      <c r="C12" s="6">
        <v>44176</v>
      </c>
      <c r="D12" s="6">
        <v>44176</v>
      </c>
      <c r="E12" s="5" t="s">
        <v>1</v>
      </c>
      <c r="F12" s="5">
        <v>23961</v>
      </c>
      <c r="G12" s="5" t="s">
        <v>5</v>
      </c>
      <c r="H12" s="5" t="s">
        <v>2</v>
      </c>
      <c r="I12" s="5" t="s">
        <v>3</v>
      </c>
      <c r="J12" s="5" t="s">
        <v>6</v>
      </c>
      <c r="K12" s="5" t="s">
        <v>32</v>
      </c>
      <c r="L12" s="5">
        <v>109000</v>
      </c>
      <c r="M12" s="6">
        <v>44190</v>
      </c>
      <c r="N12" s="6">
        <v>44176</v>
      </c>
      <c r="O12" s="5">
        <v>109000</v>
      </c>
      <c r="P12" s="5">
        <v>109000</v>
      </c>
      <c r="Q12" s="5" t="s">
        <v>8</v>
      </c>
      <c r="R12" s="5" t="s">
        <v>42</v>
      </c>
    </row>
    <row r="13" spans="1:21" x14ac:dyDescent="0.2">
      <c r="A13" s="5" t="s">
        <v>0</v>
      </c>
      <c r="B13" s="5">
        <v>749665</v>
      </c>
      <c r="C13" s="6">
        <v>44203</v>
      </c>
      <c r="D13" s="6">
        <v>44203</v>
      </c>
      <c r="E13" s="5" t="s">
        <v>1</v>
      </c>
      <c r="F13" s="5">
        <v>26220</v>
      </c>
      <c r="G13" s="5" t="s">
        <v>5</v>
      </c>
      <c r="H13" s="5" t="s">
        <v>2</v>
      </c>
      <c r="I13" s="5" t="s">
        <v>3</v>
      </c>
      <c r="J13" s="5" t="s">
        <v>6</v>
      </c>
      <c r="K13" s="5" t="s">
        <v>32</v>
      </c>
      <c r="L13" s="5">
        <v>400000</v>
      </c>
      <c r="M13" s="6">
        <v>44221</v>
      </c>
      <c r="N13" s="6">
        <v>44204</v>
      </c>
      <c r="O13" s="5">
        <v>400000</v>
      </c>
      <c r="P13" s="5">
        <v>200000</v>
      </c>
      <c r="Q13" s="5" t="s">
        <v>8</v>
      </c>
      <c r="R13" s="5" t="s">
        <v>43</v>
      </c>
    </row>
    <row r="14" spans="1:21" x14ac:dyDescent="0.2">
      <c r="A14" s="5" t="s">
        <v>0</v>
      </c>
      <c r="B14" s="5">
        <v>750136</v>
      </c>
      <c r="C14" s="6">
        <v>44222</v>
      </c>
      <c r="D14" s="6">
        <v>44222</v>
      </c>
      <c r="E14" s="5" t="s">
        <v>1</v>
      </c>
      <c r="F14" s="5">
        <v>26364</v>
      </c>
      <c r="G14" s="5" t="s">
        <v>5</v>
      </c>
      <c r="H14" s="5" t="s">
        <v>2</v>
      </c>
      <c r="I14" s="5" t="s">
        <v>3</v>
      </c>
      <c r="J14" s="5" t="s">
        <v>6</v>
      </c>
      <c r="K14" s="5" t="s">
        <v>32</v>
      </c>
      <c r="L14" s="5">
        <v>136000</v>
      </c>
      <c r="M14" s="6">
        <v>44226</v>
      </c>
      <c r="N14" s="6">
        <v>44222</v>
      </c>
      <c r="O14" s="5">
        <v>136000</v>
      </c>
      <c r="P14" s="5">
        <v>136000</v>
      </c>
      <c r="Q14" s="5" t="s">
        <v>8</v>
      </c>
      <c r="R14" s="5" t="s">
        <v>44</v>
      </c>
    </row>
    <row r="15" spans="1:21" x14ac:dyDescent="0.2">
      <c r="A15" s="5" t="s">
        <v>0</v>
      </c>
      <c r="B15" s="5">
        <v>756098</v>
      </c>
      <c r="C15" s="6">
        <v>44250</v>
      </c>
      <c r="D15" s="6">
        <v>44250</v>
      </c>
      <c r="E15" s="5" t="s">
        <v>1</v>
      </c>
      <c r="F15" s="5">
        <v>28739</v>
      </c>
      <c r="G15" s="5" t="s">
        <v>5</v>
      </c>
      <c r="H15" s="5" t="s">
        <v>2</v>
      </c>
      <c r="I15" s="5" t="s">
        <v>3</v>
      </c>
      <c r="J15" s="5" t="s">
        <v>6</v>
      </c>
      <c r="K15" s="5" t="s">
        <v>32</v>
      </c>
      <c r="L15" s="5">
        <v>160000</v>
      </c>
      <c r="M15" s="6">
        <v>44252</v>
      </c>
      <c r="N15" s="6">
        <v>44251</v>
      </c>
      <c r="O15" s="5">
        <v>160000</v>
      </c>
      <c r="P15" s="5">
        <v>160000</v>
      </c>
      <c r="Q15" s="5" t="s">
        <v>8</v>
      </c>
      <c r="R15" s="5" t="s">
        <v>45</v>
      </c>
    </row>
    <row r="16" spans="1:21" x14ac:dyDescent="0.2">
      <c r="A16" s="5" t="s">
        <v>0</v>
      </c>
      <c r="B16" s="5">
        <v>760648</v>
      </c>
      <c r="C16" s="6">
        <v>44263</v>
      </c>
      <c r="D16" s="6">
        <v>44263</v>
      </c>
      <c r="E16" s="5" t="s">
        <v>1</v>
      </c>
      <c r="F16" s="5">
        <v>30984</v>
      </c>
      <c r="G16" s="5" t="s">
        <v>5</v>
      </c>
      <c r="H16" s="5" t="s">
        <v>2</v>
      </c>
      <c r="I16" s="5" t="s">
        <v>3</v>
      </c>
      <c r="J16" s="5" t="s">
        <v>6</v>
      </c>
      <c r="K16" s="5" t="s">
        <v>32</v>
      </c>
      <c r="L16" s="5">
        <v>126000</v>
      </c>
      <c r="M16" s="6">
        <v>44280</v>
      </c>
      <c r="N16" s="6">
        <v>44263</v>
      </c>
      <c r="O16" s="5">
        <v>126000</v>
      </c>
      <c r="P16" s="5">
        <v>126000</v>
      </c>
      <c r="Q16" s="5" t="s">
        <v>8</v>
      </c>
      <c r="R16" s="5" t="s">
        <v>46</v>
      </c>
    </row>
    <row r="17" spans="1:18" x14ac:dyDescent="0.2">
      <c r="A17" s="5" t="s">
        <v>0</v>
      </c>
      <c r="B17" s="5">
        <v>761610</v>
      </c>
      <c r="C17" s="6">
        <v>44286</v>
      </c>
      <c r="D17" s="6">
        <v>44286</v>
      </c>
      <c r="E17" s="5" t="s">
        <v>1</v>
      </c>
      <c r="F17" s="5">
        <v>31478</v>
      </c>
      <c r="G17" s="5" t="s">
        <v>5</v>
      </c>
      <c r="H17" s="5" t="s">
        <v>2</v>
      </c>
      <c r="I17" s="5" t="s">
        <v>3</v>
      </c>
      <c r="J17" s="5" t="s">
        <v>6</v>
      </c>
      <c r="K17" s="5" t="s">
        <v>32</v>
      </c>
      <c r="L17" s="5">
        <v>440000</v>
      </c>
      <c r="M17" s="6">
        <v>44286</v>
      </c>
      <c r="N17" s="6">
        <v>44286</v>
      </c>
      <c r="O17" s="5">
        <v>440000</v>
      </c>
      <c r="P17" s="5">
        <v>220000</v>
      </c>
      <c r="Q17" s="5" t="s">
        <v>8</v>
      </c>
      <c r="R17" s="5" t="s">
        <v>47</v>
      </c>
    </row>
    <row r="18" spans="1:18" x14ac:dyDescent="0.2">
      <c r="A18" s="5" t="s">
        <v>0</v>
      </c>
      <c r="B18" s="5">
        <v>767303</v>
      </c>
      <c r="C18" s="6">
        <v>44313</v>
      </c>
      <c r="D18" s="6">
        <v>44313</v>
      </c>
      <c r="E18" s="5" t="s">
        <v>1</v>
      </c>
      <c r="F18" s="5">
        <v>34163</v>
      </c>
      <c r="G18" s="5" t="s">
        <v>5</v>
      </c>
      <c r="H18" s="5" t="s">
        <v>2</v>
      </c>
      <c r="I18" s="5" t="s">
        <v>3</v>
      </c>
      <c r="J18" s="5" t="s">
        <v>6</v>
      </c>
      <c r="K18" s="5" t="s">
        <v>32</v>
      </c>
      <c r="L18" s="5">
        <v>200000</v>
      </c>
      <c r="M18" s="6">
        <v>44316</v>
      </c>
      <c r="N18" s="6">
        <v>44313</v>
      </c>
      <c r="O18" s="5">
        <v>200000</v>
      </c>
      <c r="P18" s="5">
        <v>200000</v>
      </c>
      <c r="Q18" s="5" t="s">
        <v>8</v>
      </c>
      <c r="R18" s="5" t="s">
        <v>48</v>
      </c>
    </row>
    <row r="19" spans="1:18" x14ac:dyDescent="0.2">
      <c r="A19" s="5" t="s">
        <v>0</v>
      </c>
      <c r="B19" s="5">
        <v>773370</v>
      </c>
      <c r="C19" s="6">
        <v>44335</v>
      </c>
      <c r="D19" s="6">
        <v>44335</v>
      </c>
      <c r="E19" s="5" t="s">
        <v>1</v>
      </c>
      <c r="F19" s="5">
        <v>36584</v>
      </c>
      <c r="G19" s="5" t="s">
        <v>5</v>
      </c>
      <c r="H19" s="5" t="s">
        <v>2</v>
      </c>
      <c r="I19" s="5" t="s">
        <v>3</v>
      </c>
      <c r="J19" s="5" t="s">
        <v>6</v>
      </c>
      <c r="K19" s="5" t="s">
        <v>32</v>
      </c>
      <c r="L19" s="5">
        <v>400000</v>
      </c>
      <c r="M19" s="6">
        <v>44341</v>
      </c>
      <c r="N19" s="6">
        <v>44335</v>
      </c>
      <c r="O19" s="5">
        <v>400000</v>
      </c>
      <c r="P19" s="5">
        <v>200000</v>
      </c>
      <c r="Q19" s="5" t="s">
        <v>8</v>
      </c>
      <c r="R19" s="5" t="s">
        <v>49</v>
      </c>
    </row>
    <row r="20" spans="1:18" x14ac:dyDescent="0.2">
      <c r="A20" s="5" t="s">
        <v>0</v>
      </c>
      <c r="B20" s="5">
        <v>773796</v>
      </c>
      <c r="C20" s="6">
        <v>44347</v>
      </c>
      <c r="D20" s="6">
        <v>44347</v>
      </c>
      <c r="E20" s="5" t="s">
        <v>1</v>
      </c>
      <c r="F20" s="5">
        <v>36834</v>
      </c>
      <c r="G20" s="5" t="s">
        <v>5</v>
      </c>
      <c r="H20" s="5" t="s">
        <v>2</v>
      </c>
      <c r="I20" s="5" t="s">
        <v>3</v>
      </c>
      <c r="J20" s="5" t="s">
        <v>6</v>
      </c>
      <c r="K20" s="5" t="s">
        <v>32</v>
      </c>
      <c r="L20" s="5">
        <v>100000</v>
      </c>
      <c r="M20" s="6">
        <v>44347</v>
      </c>
      <c r="N20" s="6">
        <v>44347</v>
      </c>
      <c r="O20" s="5">
        <v>100000</v>
      </c>
      <c r="P20" s="5">
        <v>100000</v>
      </c>
      <c r="Q20" s="5" t="s">
        <v>8</v>
      </c>
      <c r="R20" s="5" t="s">
        <v>50</v>
      </c>
    </row>
    <row r="21" spans="1:18" x14ac:dyDescent="0.2">
      <c r="A21" s="5" t="s">
        <v>0</v>
      </c>
      <c r="B21" s="5">
        <v>779614</v>
      </c>
      <c r="C21" s="6">
        <v>44369</v>
      </c>
      <c r="D21" s="6">
        <v>44369</v>
      </c>
      <c r="E21" s="5" t="s">
        <v>1</v>
      </c>
      <c r="F21" s="5">
        <v>39275</v>
      </c>
      <c r="G21" s="5" t="s">
        <v>5</v>
      </c>
      <c r="H21" s="5" t="s">
        <v>2</v>
      </c>
      <c r="I21" s="5" t="s">
        <v>3</v>
      </c>
      <c r="J21" s="5" t="s">
        <v>6</v>
      </c>
      <c r="K21" s="5" t="s">
        <v>32</v>
      </c>
      <c r="L21" s="5">
        <v>175000</v>
      </c>
      <c r="M21" s="6">
        <v>44372</v>
      </c>
      <c r="N21" s="6">
        <v>44369</v>
      </c>
      <c r="O21" s="5">
        <v>175000</v>
      </c>
      <c r="P21" s="5">
        <v>175000</v>
      </c>
      <c r="Q21" s="5" t="s">
        <v>8</v>
      </c>
      <c r="R21" s="5" t="s">
        <v>51</v>
      </c>
    </row>
    <row r="22" spans="1:18" x14ac:dyDescent="0.2">
      <c r="A22" s="5" t="s">
        <v>0</v>
      </c>
      <c r="B22" s="5">
        <v>779932</v>
      </c>
      <c r="C22" s="6">
        <v>44377</v>
      </c>
      <c r="D22" s="6">
        <v>44377</v>
      </c>
      <c r="E22" s="5" t="s">
        <v>1</v>
      </c>
      <c r="F22" s="5">
        <v>39505</v>
      </c>
      <c r="G22" s="5" t="s">
        <v>5</v>
      </c>
      <c r="H22" s="5" t="s">
        <v>2</v>
      </c>
      <c r="I22" s="5" t="s">
        <v>3</v>
      </c>
      <c r="J22" s="5" t="s">
        <v>6</v>
      </c>
      <c r="K22" s="5" t="s">
        <v>32</v>
      </c>
      <c r="L22" s="5">
        <v>220000</v>
      </c>
      <c r="M22" s="6">
        <v>44377</v>
      </c>
      <c r="N22" s="6">
        <v>44377</v>
      </c>
      <c r="O22" s="5">
        <v>220000</v>
      </c>
      <c r="P22" s="5">
        <v>110000</v>
      </c>
      <c r="Q22" s="5" t="s">
        <v>8</v>
      </c>
      <c r="R22" s="5" t="s">
        <v>52</v>
      </c>
    </row>
    <row r="23" spans="1:18" x14ac:dyDescent="0.2">
      <c r="A23" s="5" t="s">
        <v>0</v>
      </c>
      <c r="B23" s="5">
        <v>784450</v>
      </c>
      <c r="C23" s="6">
        <v>44383</v>
      </c>
      <c r="D23" s="6">
        <v>44383</v>
      </c>
      <c r="E23" s="5" t="s">
        <v>1</v>
      </c>
      <c r="F23" s="5">
        <v>41817</v>
      </c>
      <c r="G23" s="5" t="s">
        <v>5</v>
      </c>
      <c r="H23" s="5" t="s">
        <v>2</v>
      </c>
      <c r="I23" s="5" t="s">
        <v>3</v>
      </c>
      <c r="J23" s="5" t="s">
        <v>6</v>
      </c>
      <c r="K23" s="5" t="s">
        <v>32</v>
      </c>
      <c r="L23" s="5">
        <v>367271.7</v>
      </c>
      <c r="M23" s="6">
        <v>44407</v>
      </c>
      <c r="N23" s="6">
        <v>44407</v>
      </c>
      <c r="O23" s="5">
        <v>367271.7</v>
      </c>
      <c r="P23" s="5">
        <v>367271.7</v>
      </c>
      <c r="Q23" s="5" t="s">
        <v>8</v>
      </c>
      <c r="R23" s="5" t="s">
        <v>53</v>
      </c>
    </row>
    <row r="24" spans="1:18" x14ac:dyDescent="0.2">
      <c r="A24" s="5" t="s">
        <v>0</v>
      </c>
      <c r="B24" s="5">
        <v>790241</v>
      </c>
      <c r="C24" s="6">
        <v>44424</v>
      </c>
      <c r="D24" s="6">
        <v>44424</v>
      </c>
      <c r="E24" s="5" t="s">
        <v>1</v>
      </c>
      <c r="F24" s="5">
        <v>44682</v>
      </c>
      <c r="G24" s="5" t="s">
        <v>5</v>
      </c>
      <c r="H24" s="5" t="s">
        <v>2</v>
      </c>
      <c r="I24" s="5" t="s">
        <v>3</v>
      </c>
      <c r="J24" s="5" t="s">
        <v>6</v>
      </c>
      <c r="K24" s="5" t="s">
        <v>32</v>
      </c>
      <c r="L24" s="5">
        <v>247312.8</v>
      </c>
      <c r="M24" s="6">
        <v>44438</v>
      </c>
      <c r="N24" s="6">
        <v>44439</v>
      </c>
      <c r="O24" s="5">
        <v>247312.8</v>
      </c>
      <c r="P24" s="5">
        <v>247312.8</v>
      </c>
      <c r="Q24" s="5" t="s">
        <v>31</v>
      </c>
      <c r="R24" s="5" t="s">
        <v>54</v>
      </c>
    </row>
    <row r="25" spans="1:18" x14ac:dyDescent="0.2">
      <c r="A25" s="5" t="s">
        <v>0</v>
      </c>
      <c r="B25" s="5">
        <v>795687</v>
      </c>
      <c r="C25" s="6">
        <v>44459</v>
      </c>
      <c r="D25" s="6">
        <v>44459</v>
      </c>
      <c r="E25" s="5" t="s">
        <v>1</v>
      </c>
      <c r="F25" s="5">
        <v>47438</v>
      </c>
      <c r="G25" s="5" t="s">
        <v>5</v>
      </c>
      <c r="H25" s="5" t="s">
        <v>2</v>
      </c>
      <c r="I25" s="5" t="s">
        <v>3</v>
      </c>
      <c r="J25" s="5" t="s">
        <v>6</v>
      </c>
      <c r="K25" s="5" t="s">
        <v>32</v>
      </c>
      <c r="L25" s="5">
        <v>192271.3</v>
      </c>
      <c r="M25" s="6">
        <v>44469</v>
      </c>
      <c r="N25" s="6">
        <v>44470</v>
      </c>
      <c r="O25" s="5">
        <v>192271.3</v>
      </c>
      <c r="P25" s="5">
        <v>192271.3</v>
      </c>
      <c r="Q25" s="5" t="s">
        <v>31</v>
      </c>
      <c r="R25" s="5" t="s">
        <v>55</v>
      </c>
    </row>
    <row r="26" spans="1:18" x14ac:dyDescent="0.2">
      <c r="A26" s="5" t="s">
        <v>0</v>
      </c>
      <c r="B26" s="5">
        <v>803133</v>
      </c>
      <c r="C26" s="6">
        <v>44487</v>
      </c>
      <c r="D26" s="6">
        <v>44487</v>
      </c>
      <c r="E26" s="5" t="s">
        <v>1</v>
      </c>
      <c r="F26" s="5">
        <v>50213</v>
      </c>
      <c r="G26" s="5" t="s">
        <v>5</v>
      </c>
      <c r="H26" s="5" t="s">
        <v>2</v>
      </c>
      <c r="I26" s="5" t="s">
        <v>3</v>
      </c>
      <c r="J26" s="5" t="s">
        <v>6</v>
      </c>
      <c r="K26" s="5" t="s">
        <v>32</v>
      </c>
      <c r="L26" s="5">
        <v>192689.4</v>
      </c>
      <c r="M26" s="6">
        <v>44499</v>
      </c>
      <c r="N26" s="6">
        <v>44501</v>
      </c>
      <c r="O26" s="5">
        <v>192689.4</v>
      </c>
      <c r="P26" s="5">
        <v>192689.4</v>
      </c>
      <c r="Q26" s="5" t="s">
        <v>4</v>
      </c>
      <c r="R26" s="5" t="s">
        <v>56</v>
      </c>
    </row>
    <row r="27" spans="1:18" x14ac:dyDescent="0.2">
      <c r="A27" s="5" t="s">
        <v>0</v>
      </c>
      <c r="B27" s="5">
        <v>809249</v>
      </c>
      <c r="C27" s="6">
        <v>44508</v>
      </c>
      <c r="D27" s="6">
        <v>44508</v>
      </c>
      <c r="E27" s="5" t="s">
        <v>1</v>
      </c>
      <c r="F27" s="5">
        <v>52908</v>
      </c>
      <c r="G27" s="5" t="s">
        <v>5</v>
      </c>
      <c r="H27" s="5" t="s">
        <v>2</v>
      </c>
      <c r="I27" s="5" t="s">
        <v>3</v>
      </c>
      <c r="J27" s="5" t="s">
        <v>6</v>
      </c>
      <c r="K27" s="5" t="s">
        <v>32</v>
      </c>
      <c r="L27" s="5">
        <v>201298.4</v>
      </c>
      <c r="M27" s="6">
        <v>44530</v>
      </c>
      <c r="N27" s="6">
        <v>44530</v>
      </c>
      <c r="O27" s="5">
        <v>201298.4</v>
      </c>
      <c r="P27" s="5">
        <v>201298.4</v>
      </c>
      <c r="Q27" s="5" t="s">
        <v>4</v>
      </c>
      <c r="R27" s="5" t="s">
        <v>56</v>
      </c>
    </row>
    <row r="28" spans="1:18" x14ac:dyDescent="0.2">
      <c r="A28" s="5" t="s">
        <v>0</v>
      </c>
      <c r="B28" s="5">
        <v>819493</v>
      </c>
      <c r="C28" s="6">
        <v>44544</v>
      </c>
      <c r="D28" s="6">
        <v>44544</v>
      </c>
      <c r="E28" s="5" t="s">
        <v>1</v>
      </c>
      <c r="F28" s="5">
        <v>56234</v>
      </c>
      <c r="G28" s="5" t="s">
        <v>5</v>
      </c>
      <c r="H28" s="5" t="s">
        <v>2</v>
      </c>
      <c r="I28" s="5" t="s">
        <v>3</v>
      </c>
      <c r="J28" s="5" t="s">
        <v>6</v>
      </c>
      <c r="K28" s="5" t="s">
        <v>32</v>
      </c>
      <c r="L28" s="5">
        <v>199419.1</v>
      </c>
      <c r="M28" s="6">
        <v>44560</v>
      </c>
      <c r="N28" s="6">
        <v>44560</v>
      </c>
      <c r="O28" s="5">
        <v>199419.1</v>
      </c>
      <c r="P28" s="5">
        <v>199419.1</v>
      </c>
      <c r="Q28" s="5" t="s">
        <v>4</v>
      </c>
      <c r="R28" s="5" t="s">
        <v>57</v>
      </c>
    </row>
    <row r="29" spans="1:18" x14ac:dyDescent="0.2">
      <c r="A29" s="5" t="s">
        <v>0</v>
      </c>
      <c r="B29" s="5">
        <v>825667</v>
      </c>
      <c r="C29" s="6">
        <v>44574</v>
      </c>
      <c r="D29" s="6">
        <v>44574</v>
      </c>
      <c r="E29" s="5" t="s">
        <v>1</v>
      </c>
      <c r="F29" s="5">
        <v>58951</v>
      </c>
      <c r="G29" s="5" t="s">
        <v>5</v>
      </c>
      <c r="H29" s="5" t="s">
        <v>2</v>
      </c>
      <c r="I29" s="5" t="s">
        <v>3</v>
      </c>
      <c r="J29" s="5" t="s">
        <v>6</v>
      </c>
      <c r="K29" s="5" t="s">
        <v>32</v>
      </c>
      <c r="L29" s="5">
        <v>195864</v>
      </c>
      <c r="M29" s="6">
        <v>44591</v>
      </c>
      <c r="N29" s="6">
        <v>44592</v>
      </c>
      <c r="O29" s="5">
        <v>195864</v>
      </c>
      <c r="P29" s="5">
        <v>195864</v>
      </c>
      <c r="Q29" s="5" t="s">
        <v>4</v>
      </c>
      <c r="R29" s="5" t="s">
        <v>58</v>
      </c>
    </row>
    <row r="30" spans="1:18" x14ac:dyDescent="0.2">
      <c r="A30" s="5" t="s">
        <v>0</v>
      </c>
      <c r="B30" s="5">
        <v>831045</v>
      </c>
      <c r="C30" s="6">
        <v>44602</v>
      </c>
      <c r="D30" s="6">
        <v>44602</v>
      </c>
      <c r="E30" s="5" t="s">
        <v>1</v>
      </c>
      <c r="F30" s="5">
        <v>61959</v>
      </c>
      <c r="G30" s="5" t="s">
        <v>5</v>
      </c>
      <c r="H30" s="5" t="s">
        <v>2</v>
      </c>
      <c r="I30" s="5" t="s">
        <v>3</v>
      </c>
      <c r="J30" s="5" t="s">
        <v>6</v>
      </c>
      <c r="K30" s="5" t="s">
        <v>32</v>
      </c>
      <c r="L30" s="5">
        <v>218357.7</v>
      </c>
      <c r="M30" s="6">
        <v>44620</v>
      </c>
      <c r="N30" s="6">
        <v>44622</v>
      </c>
      <c r="O30" s="5">
        <v>218357.7</v>
      </c>
      <c r="P30" s="5">
        <v>218357.7</v>
      </c>
      <c r="Q30" s="5" t="s">
        <v>4</v>
      </c>
      <c r="R30" s="5" t="s">
        <v>59</v>
      </c>
    </row>
    <row r="31" spans="1:18" x14ac:dyDescent="0.2">
      <c r="A31" s="5" t="s">
        <v>0</v>
      </c>
      <c r="B31" s="5">
        <v>839135</v>
      </c>
      <c r="C31" s="6">
        <v>44641</v>
      </c>
      <c r="D31" s="6">
        <v>44641</v>
      </c>
      <c r="E31" s="5" t="s">
        <v>1</v>
      </c>
      <c r="F31" s="5">
        <v>65401</v>
      </c>
      <c r="G31" s="5" t="s">
        <v>5</v>
      </c>
      <c r="H31" s="5" t="s">
        <v>2</v>
      </c>
      <c r="I31" s="5" t="s">
        <v>3</v>
      </c>
      <c r="J31" s="5" t="s">
        <v>6</v>
      </c>
      <c r="K31" s="5" t="s">
        <v>32</v>
      </c>
      <c r="L31" s="5">
        <v>205495</v>
      </c>
      <c r="M31" s="6">
        <v>44650</v>
      </c>
      <c r="N31" s="6">
        <v>44650</v>
      </c>
      <c r="O31" s="5">
        <v>205495</v>
      </c>
      <c r="P31" s="5">
        <v>205495</v>
      </c>
      <c r="Q31" s="5" t="s">
        <v>4</v>
      </c>
      <c r="R31" s="5" t="s">
        <v>60</v>
      </c>
    </row>
    <row r="32" spans="1:18" x14ac:dyDescent="0.2">
      <c r="A32" s="5" t="s">
        <v>0</v>
      </c>
      <c r="B32" s="5">
        <v>845295</v>
      </c>
      <c r="C32" s="6">
        <v>44669</v>
      </c>
      <c r="D32" s="6">
        <v>44669</v>
      </c>
      <c r="E32" s="5" t="s">
        <v>1</v>
      </c>
      <c r="F32" s="5">
        <v>68195</v>
      </c>
      <c r="G32" s="5" t="s">
        <v>5</v>
      </c>
      <c r="H32" s="5" t="s">
        <v>2</v>
      </c>
      <c r="I32" s="5" t="s">
        <v>3</v>
      </c>
      <c r="J32" s="5" t="s">
        <v>6</v>
      </c>
      <c r="K32" s="5" t="s">
        <v>32</v>
      </c>
      <c r="L32" s="5">
        <v>227360.4</v>
      </c>
      <c r="M32" s="6">
        <v>44681</v>
      </c>
      <c r="N32" s="6">
        <v>44683</v>
      </c>
      <c r="O32" s="5">
        <v>227360.4</v>
      </c>
      <c r="P32" s="5">
        <v>227360.4</v>
      </c>
      <c r="Q32" s="5" t="s">
        <v>4</v>
      </c>
      <c r="R32" s="5" t="s">
        <v>61</v>
      </c>
    </row>
    <row r="33" spans="1:18" x14ac:dyDescent="0.2">
      <c r="A33" s="5" t="s">
        <v>0</v>
      </c>
      <c r="B33" s="5">
        <v>853029</v>
      </c>
      <c r="C33" s="6">
        <v>44700</v>
      </c>
      <c r="D33" s="6">
        <v>44700</v>
      </c>
      <c r="E33" s="5" t="s">
        <v>1</v>
      </c>
      <c r="F33" s="5">
        <v>71524</v>
      </c>
      <c r="G33" s="5" t="s">
        <v>5</v>
      </c>
      <c r="H33" s="5" t="s">
        <v>2</v>
      </c>
      <c r="I33" s="5" t="s">
        <v>3</v>
      </c>
      <c r="J33" s="5" t="s">
        <v>6</v>
      </c>
      <c r="K33" s="5" t="s">
        <v>32</v>
      </c>
      <c r="L33" s="5">
        <v>233670</v>
      </c>
      <c r="M33" s="6">
        <v>44711</v>
      </c>
      <c r="N33" s="6">
        <v>44711</v>
      </c>
      <c r="O33" s="5">
        <v>233670</v>
      </c>
      <c r="P33" s="5">
        <v>233670</v>
      </c>
      <c r="Q33" s="5" t="s">
        <v>4</v>
      </c>
      <c r="R33" s="5" t="s">
        <v>62</v>
      </c>
    </row>
    <row r="34" spans="1:18" x14ac:dyDescent="0.2">
      <c r="A34" s="5" t="s">
        <v>0</v>
      </c>
      <c r="B34" s="5">
        <v>861087</v>
      </c>
      <c r="C34" s="6">
        <v>44726</v>
      </c>
      <c r="D34" s="6">
        <v>44726</v>
      </c>
      <c r="E34" s="5" t="s">
        <v>1</v>
      </c>
      <c r="F34" s="5">
        <v>74269</v>
      </c>
      <c r="G34" s="5" t="s">
        <v>5</v>
      </c>
      <c r="H34" s="5" t="s">
        <v>2</v>
      </c>
      <c r="I34" s="5" t="s">
        <v>3</v>
      </c>
      <c r="J34" s="5" t="s">
        <v>6</v>
      </c>
      <c r="K34" s="5" t="s">
        <v>32</v>
      </c>
      <c r="L34" s="5">
        <v>222814.4</v>
      </c>
      <c r="M34" s="6">
        <v>44742</v>
      </c>
      <c r="N34" s="6">
        <v>44742</v>
      </c>
      <c r="O34" s="5">
        <v>222814.4</v>
      </c>
      <c r="P34" s="5">
        <v>222814.4</v>
      </c>
      <c r="Q34" s="5" t="s">
        <v>4</v>
      </c>
      <c r="R34" s="5" t="s">
        <v>63</v>
      </c>
    </row>
    <row r="35" spans="1:18" x14ac:dyDescent="0.2">
      <c r="A35" s="5" t="s">
        <v>0</v>
      </c>
      <c r="B35" s="5">
        <v>867711</v>
      </c>
      <c r="C35" s="6">
        <v>44762</v>
      </c>
      <c r="D35" s="6">
        <v>44762</v>
      </c>
      <c r="E35" s="5" t="s">
        <v>1</v>
      </c>
      <c r="F35" s="5">
        <v>77565</v>
      </c>
      <c r="G35" s="5" t="s">
        <v>5</v>
      </c>
      <c r="H35" s="5" t="s">
        <v>2</v>
      </c>
      <c r="I35" s="5" t="s">
        <v>3</v>
      </c>
      <c r="J35" s="5" t="s">
        <v>6</v>
      </c>
      <c r="K35" s="5" t="s">
        <v>32</v>
      </c>
      <c r="L35" s="5">
        <v>221471.4</v>
      </c>
      <c r="M35" s="6">
        <v>44772</v>
      </c>
      <c r="N35" s="6">
        <v>44771</v>
      </c>
      <c r="O35" s="5">
        <v>221471.4</v>
      </c>
      <c r="P35" s="5">
        <v>221471.4</v>
      </c>
      <c r="Q35" s="5" t="s">
        <v>4</v>
      </c>
      <c r="R35" s="5" t="s">
        <v>64</v>
      </c>
    </row>
  </sheetData>
  <autoFilter ref="A2:R2" xr:uid="{F309FDA0-114B-441C-801D-1D9FE80AE64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ONLINE</vt:lpstr>
      <vt:lpstr>HTM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 Lima</dc:creator>
  <cp:lastModifiedBy>Livio Leitão</cp:lastModifiedBy>
  <dcterms:created xsi:type="dcterms:W3CDTF">2026-04-01T18:55:00Z</dcterms:created>
  <dcterms:modified xsi:type="dcterms:W3CDTF">2026-04-09T01:27:13Z</dcterms:modified>
</cp:coreProperties>
</file>